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1"/>
  <workbookPr/>
  <mc:AlternateContent xmlns:mc="http://schemas.openxmlformats.org/markup-compatibility/2006">
    <mc:Choice Requires="x15">
      <x15ac:absPath xmlns:x15ac="http://schemas.microsoft.com/office/spreadsheetml/2010/11/ac" url="/Users/nathan/Dev/445L/lab-7-and-10-project-nnat/"/>
    </mc:Choice>
  </mc:AlternateContent>
  <xr:revisionPtr revIDLastSave="0" documentId="13_ncr:1_{77639552-F65C-A74F-A45D-0F2E481DB44E}" xr6:coauthVersionLast="47" xr6:coauthVersionMax="47" xr10:uidLastSave="{00000000-0000-0000-0000-000000000000}"/>
  <bookViews>
    <workbookView xWindow="0" yWindow="500" windowWidth="28800" windowHeight="17500" xr2:uid="{2A746B91-5B93-4559-A98B-A0C4C3CDA5C8}"/>
  </bookViews>
  <sheets>
    <sheet name="Parts" sheetId="1" r:id="rId1"/>
    <sheet name="Sheet3" sheetId="3" r:id="rId2"/>
  </sheets>
  <definedNames>
    <definedName name="_xlnm._FilterDatabase" localSheetId="0" hidden="1">Parts!$A$5:$J$5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" i="1" l="1"/>
  <c r="J12" i="1"/>
  <c r="J7" i="1"/>
  <c r="J6" i="1"/>
  <c r="J8" i="1"/>
  <c r="J9" i="1"/>
  <c r="J10" i="1"/>
  <c r="J11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ECE_IT</author>
  </authors>
  <commentList>
    <comment ref="A4" authorId="0" shapeId="0" xr:uid="{E70392B2-6789-476A-911C-3656028CE6B6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How many are on your board. If 0, it should probably not clutter your bom up…
</t>
        </r>
      </text>
    </comment>
    <comment ref="B4" authorId="0" shapeId="0" xr:uid="{790CA1D8-476C-4D7B-84A8-F0C918541FF9}">
      <text>
        <r>
          <rPr>
            <b/>
            <sz val="8"/>
            <color indexed="81"/>
            <rFont val="Tahoma"/>
            <family val="2"/>
          </rPr>
          <t>ECE_IT:</t>
        </r>
        <r>
          <rPr>
            <sz val="8"/>
            <color indexed="81"/>
            <rFont val="Tahoma"/>
            <family val="2"/>
          </rPr>
          <t xml:space="preserve">
This is something like C1, R2 , U1, etc. </t>
        </r>
      </text>
    </comment>
  </commentList>
</comments>
</file>

<file path=xl/sharedStrings.xml><?xml version="1.0" encoding="utf-8"?>
<sst xmlns="http://schemas.openxmlformats.org/spreadsheetml/2006/main" count="81" uniqueCount="64">
  <si>
    <t>Quantity</t>
  </si>
  <si>
    <t>Description</t>
  </si>
  <si>
    <t>Unit cost</t>
  </si>
  <si>
    <t>Cost</t>
  </si>
  <si>
    <t>Bill of Materials</t>
  </si>
  <si>
    <t>Distributor</t>
  </si>
  <si>
    <t xml:space="preserve">Manufacturer </t>
  </si>
  <si>
    <t>Mfg. P/N</t>
  </si>
  <si>
    <t>P/N</t>
  </si>
  <si>
    <t>Digikey</t>
  </si>
  <si>
    <t>IC</t>
  </si>
  <si>
    <t>LCD</t>
  </si>
  <si>
    <t>Type</t>
  </si>
  <si>
    <t>CPU</t>
  </si>
  <si>
    <t>TI</t>
  </si>
  <si>
    <t>OPA2350 dual op amp</t>
  </si>
  <si>
    <t>not free</t>
  </si>
  <si>
    <t xml:space="preserve">OPA2350PA </t>
  </si>
  <si>
    <t>LM4041CILPR shunt diode reference</t>
  </si>
  <si>
    <t xml:space="preserve">LM4041CILPR </t>
  </si>
  <si>
    <t>"not free" means you have to buy it</t>
  </si>
  <si>
    <t>"free sample" means you have to order it</t>
  </si>
  <si>
    <t>REF DES</t>
  </si>
  <si>
    <t>REF DES Note</t>
  </si>
  <si>
    <t>Qty Note</t>
  </si>
  <si>
    <t>Where to get it?</t>
  </si>
  <si>
    <t>Inventory</t>
  </si>
  <si>
    <t>EE445L pays for the PCB</t>
  </si>
  <si>
    <t>Cabinet</t>
  </si>
  <si>
    <t xml:space="preserve">Mouser </t>
  </si>
  <si>
    <t>LP2950 3.3V regulator, 100 mA TO-92</t>
  </si>
  <si>
    <t>TLV5616</t>
  </si>
  <si>
    <t xml:space="preserve">TLV5616CP </t>
  </si>
  <si>
    <t>TLV5616 12-bit DAC</t>
  </si>
  <si>
    <t>Sitronix</t>
  </si>
  <si>
    <t xml:space="preserve"> ST7735R </t>
  </si>
  <si>
    <t>Adafruit</t>
  </si>
  <si>
    <t xml:space="preserve">18-bit color 128*160 1.8" TFT LCD display </t>
  </si>
  <si>
    <t>TM4C123GH6PM 64-pin LQFP</t>
  </si>
  <si>
    <t>595-TM4C123GH6PMI</t>
  </si>
  <si>
    <t>TM4C123GH6PMI</t>
  </si>
  <si>
    <t>LP2950-33LPRE3</t>
  </si>
  <si>
    <t>296-31455-1-ND</t>
  </si>
  <si>
    <t>"Cabinet means in one of the six black cabinets in professsor's office (bring a print out of your SCH")</t>
  </si>
  <si>
    <t>Cabinet or free sample</t>
  </si>
  <si>
    <r>
      <t xml:space="preserve">"Professor" means ask your professor quantity and style will vary </t>
    </r>
    <r>
      <rPr>
        <b/>
        <sz val="12"/>
        <color indexed="10"/>
        <rFont val="Times New Roman"/>
        <family val="1"/>
      </rPr>
      <t>(bring a print out of your SCH circuit</t>
    </r>
    <r>
      <rPr>
        <b/>
        <sz val="12"/>
        <rFont val="Times New Roman"/>
        <family val="1"/>
      </rPr>
      <t>)</t>
    </r>
  </si>
  <si>
    <t>not required, we expect most students will create a system with the LaunchPad</t>
  </si>
  <si>
    <r>
      <t>"Box means in box in your professor's office (</t>
    </r>
    <r>
      <rPr>
        <b/>
        <sz val="12"/>
        <color indexed="10"/>
        <rFont val="Times New Roman"/>
        <family val="1"/>
      </rPr>
      <t>bring a print out of your SCH circuit</t>
    </r>
    <r>
      <rPr>
        <b/>
        <sz val="12"/>
        <rFont val="Times New Roman"/>
        <family val="1"/>
      </rPr>
      <t>)</t>
    </r>
  </si>
  <si>
    <t>ECE445L Spring 2025</t>
  </si>
  <si>
    <t>ESP32-D0WD-V3</t>
  </si>
  <si>
    <t>Espressif Systems</t>
  </si>
  <si>
    <t>IC RF TXRX+MCU BLE 48QFN</t>
  </si>
  <si>
    <t>DigiKey</t>
  </si>
  <si>
    <t>1904-ESP32-D0WD-V3</t>
  </si>
  <si>
    <t>FT232R FTDI Interface Arduino Platform Evaluation Expansion Board</t>
  </si>
  <si>
    <t>1568-12935-ND</t>
  </si>
  <si>
    <t>N/A</t>
  </si>
  <si>
    <t>BB</t>
  </si>
  <si>
    <t>Good-Ark Semiconductor</t>
  </si>
  <si>
    <t>SparkFun Electronics</t>
  </si>
  <si>
    <t xml:space="preserve">Bipolar (BJT) Transistor NPN </t>
  </si>
  <si>
    <t>PZT2222A</t>
  </si>
  <si>
    <t>4786-PZT2222ATR-ND</t>
  </si>
  <si>
    <t>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</si>
</sst>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&quot;$&quot;#,##0.00"/>
    <numFmt numFmtId="165" formatCode="[$-409]mmmm\ d\,\ yyyy;@"/>
  </numFmts>
  <fonts count="15" x14ac:knownFonts="1">
    <font>
      <sz val="10"/>
      <name val="Arial"/>
    </font>
    <font>
      <sz val="12"/>
      <name val="Times New Roman"/>
      <family val="1"/>
    </font>
    <font>
      <sz val="8"/>
      <name val="Arial"/>
      <family val="2"/>
    </font>
    <font>
      <u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u/>
      <sz val="12"/>
      <color indexed="12"/>
      <name val="Times New Roman"/>
      <family val="1"/>
    </font>
    <font>
      <b/>
      <sz val="12"/>
      <name val="Times New Roman"/>
      <family val="1"/>
    </font>
    <font>
      <b/>
      <sz val="12"/>
      <color indexed="10"/>
      <name val="Times New Roman"/>
      <family val="1"/>
    </font>
    <font>
      <sz val="11"/>
      <color rgb="FF006100"/>
      <name val="Calibri"/>
      <family val="2"/>
      <scheme val="minor"/>
    </font>
    <font>
      <b/>
      <sz val="12"/>
      <color rgb="FFFF6600"/>
      <name val="Times New Roman"/>
      <family val="1"/>
    </font>
    <font>
      <b/>
      <sz val="12"/>
      <color rgb="FF008000"/>
      <name val="Times New Roman"/>
      <family val="1"/>
    </font>
    <font>
      <b/>
      <sz val="14"/>
      <color rgb="FF006100"/>
      <name val="Calibri"/>
      <family val="2"/>
      <scheme val="minor"/>
    </font>
    <font>
      <sz val="12"/>
      <color rgb="FF222222"/>
      <name val="Arial"/>
      <family val="2"/>
    </font>
    <font>
      <sz val="12"/>
      <color rgb="FF44444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9" fillId="2" borderId="0" applyNumberFormat="0" applyBorder="0" applyAlignment="0" applyProtection="0"/>
    <xf numFmtId="0" fontId="3" fillId="0" borderId="0" applyNumberFormat="0" applyFill="0" applyBorder="0" applyAlignment="0" applyProtection="0">
      <alignment vertical="top"/>
      <protection locked="0"/>
    </xf>
  </cellStyleXfs>
  <cellXfs count="17">
    <xf numFmtId="0" fontId="0" fillId="0" borderId="0" xfId="0"/>
    <xf numFmtId="0" fontId="1" fillId="0" borderId="0" xfId="0" applyFont="1"/>
    <xf numFmtId="164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/>
    </xf>
    <xf numFmtId="0" fontId="6" fillId="0" borderId="0" xfId="2" applyFont="1" applyAlignment="1" applyProtection="1">
      <alignment horizontal="left"/>
    </xf>
    <xf numFmtId="0" fontId="7" fillId="0" borderId="0" xfId="0" applyFont="1" applyAlignment="1">
      <alignment horizontal="left"/>
    </xf>
    <xf numFmtId="165" fontId="7" fillId="0" borderId="0" xfId="0" applyNumberFormat="1" applyFont="1" applyAlignment="1">
      <alignment horizontal="left"/>
    </xf>
    <xf numFmtId="0" fontId="7" fillId="0" borderId="0" xfId="0" applyFont="1"/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2" borderId="0" xfId="1" applyFont="1" applyAlignment="1">
      <alignment horizontal="left"/>
    </xf>
    <xf numFmtId="0" fontId="1" fillId="0" borderId="0" xfId="0" applyFont="1" applyAlignment="1">
      <alignment wrapText="1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164" fontId="1" fillId="0" borderId="0" xfId="0" applyNumberFormat="1" applyFont="1" applyFill="1" applyAlignment="1">
      <alignment horizontal="right"/>
    </xf>
    <xf numFmtId="8" fontId="13" fillId="0" borderId="0" xfId="0" applyNumberFormat="1" applyFont="1"/>
    <xf numFmtId="0" fontId="14" fillId="0" borderId="0" xfId="0" applyFont="1"/>
  </cellXfs>
  <cellStyles count="3">
    <cellStyle name="Good" xfId="1" builtinId="26"/>
    <cellStyle name="Hyperlink" xfId="2" builtinId="8"/>
    <cellStyle name="Normal" xfId="0" builtinId="0"/>
  </cellStyles>
  <dxfs count="0"/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://projects.ece.utexas.edu/valvano/wiki/doku.php?id=pcbartist:schematic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B64E12-2F57-4D15-BA8D-127B966BFCD4}">
  <dimension ref="A1:Q84"/>
  <sheetViews>
    <sheetView tabSelected="1" topLeftCell="E1" zoomScale="135" zoomScaleNormal="130" workbookViewId="0">
      <selection activeCell="G16" sqref="G16"/>
    </sheetView>
  </sheetViews>
  <sheetFormatPr baseColWidth="10" defaultColWidth="11.5" defaultRowHeight="16" x14ac:dyDescent="0.2"/>
  <cols>
    <col min="1" max="1" width="9.1640625" style="3" customWidth="1"/>
    <col min="2" max="3" width="11.33203125" style="3" customWidth="1"/>
    <col min="4" max="4" width="65.33203125" style="3" bestFit="1" customWidth="1"/>
    <col min="5" max="5" width="25" style="3" customWidth="1"/>
    <col min="6" max="6" width="23.33203125" style="3" customWidth="1"/>
    <col min="7" max="7" width="18" style="3" bestFit="1" customWidth="1"/>
    <col min="8" max="8" width="24.6640625" style="3" customWidth="1"/>
    <col min="9" max="9" width="9.33203125" style="2" customWidth="1"/>
    <col min="10" max="10" width="9.1640625" style="2" customWidth="1"/>
    <col min="11" max="16384" width="11.5" style="1"/>
  </cols>
  <sheetData>
    <row r="1" spans="1:14" x14ac:dyDescent="0.2">
      <c r="A1" s="5" t="s">
        <v>4</v>
      </c>
      <c r="B1" s="5"/>
      <c r="C1" s="5"/>
      <c r="D1" s="6">
        <v>45664</v>
      </c>
      <c r="E1" s="8" t="s">
        <v>20</v>
      </c>
      <c r="F1" s="5"/>
      <c r="G1" s="5" t="s">
        <v>21</v>
      </c>
      <c r="H1" s="5"/>
    </row>
    <row r="2" spans="1:14" ht="19" x14ac:dyDescent="0.25">
      <c r="A2" s="5" t="s">
        <v>48</v>
      </c>
      <c r="B2" s="5"/>
      <c r="C2" s="5"/>
      <c r="D2" s="10" t="s">
        <v>27</v>
      </c>
      <c r="E2" s="9" t="s">
        <v>43</v>
      </c>
      <c r="F2" s="5"/>
      <c r="G2" s="5"/>
      <c r="H2" s="5"/>
    </row>
    <row r="3" spans="1:14" x14ac:dyDescent="0.2">
      <c r="A3" s="5"/>
      <c r="B3" s="5"/>
      <c r="C3" s="5"/>
      <c r="D3" s="5"/>
      <c r="E3" s="5" t="s">
        <v>45</v>
      </c>
      <c r="F3" s="5"/>
      <c r="G3" s="5"/>
      <c r="H3" s="5"/>
    </row>
    <row r="4" spans="1:14" x14ac:dyDescent="0.2">
      <c r="A4" s="3" t="s">
        <v>24</v>
      </c>
      <c r="B4" s="4" t="s">
        <v>23</v>
      </c>
      <c r="E4" s="7" t="s">
        <v>47</v>
      </c>
    </row>
    <row r="5" spans="1:14" x14ac:dyDescent="0.2">
      <c r="A5" s="3" t="s">
        <v>0</v>
      </c>
      <c r="B5" s="3" t="s">
        <v>22</v>
      </c>
      <c r="C5" s="3" t="s">
        <v>12</v>
      </c>
      <c r="D5" s="3" t="s">
        <v>1</v>
      </c>
      <c r="E5" s="3" t="s">
        <v>6</v>
      </c>
      <c r="F5" s="3" t="s">
        <v>7</v>
      </c>
      <c r="G5" s="3" t="s">
        <v>5</v>
      </c>
      <c r="H5" s="3" t="s">
        <v>8</v>
      </c>
      <c r="I5" s="2" t="s">
        <v>2</v>
      </c>
      <c r="J5" s="2" t="s">
        <v>3</v>
      </c>
      <c r="K5" s="1" t="s">
        <v>25</v>
      </c>
      <c r="L5" s="1" t="s">
        <v>26</v>
      </c>
    </row>
    <row r="6" spans="1:14" x14ac:dyDescent="0.2">
      <c r="A6" s="13">
        <v>1</v>
      </c>
      <c r="B6" s="13"/>
      <c r="C6" s="13" t="s">
        <v>13</v>
      </c>
      <c r="D6" s="13" t="s">
        <v>38</v>
      </c>
      <c r="E6" s="13" t="s">
        <v>14</v>
      </c>
      <c r="F6" s="13" t="s">
        <v>40</v>
      </c>
      <c r="G6" s="13" t="s">
        <v>29</v>
      </c>
      <c r="H6" s="13" t="s">
        <v>39</v>
      </c>
      <c r="I6" s="14">
        <v>11.55</v>
      </c>
      <c r="J6" s="14">
        <f>A6*I6</f>
        <v>11.55</v>
      </c>
      <c r="K6" s="12" t="s">
        <v>46</v>
      </c>
      <c r="L6" s="12"/>
      <c r="M6" s="12"/>
      <c r="N6" s="12"/>
    </row>
    <row r="7" spans="1:14" x14ac:dyDescent="0.2">
      <c r="A7" s="13">
        <v>1</v>
      </c>
      <c r="B7" s="13"/>
      <c r="C7" s="13" t="s">
        <v>10</v>
      </c>
      <c r="D7" s="13" t="s">
        <v>30</v>
      </c>
      <c r="E7" s="13" t="s">
        <v>14</v>
      </c>
      <c r="F7" s="13" t="s">
        <v>41</v>
      </c>
      <c r="G7" s="13" t="s">
        <v>9</v>
      </c>
      <c r="H7" s="13" t="s">
        <v>42</v>
      </c>
      <c r="I7" s="14">
        <v>0.19</v>
      </c>
      <c r="J7" s="14">
        <f>A7*I7</f>
        <v>0.19</v>
      </c>
      <c r="K7" s="12" t="s">
        <v>28</v>
      </c>
      <c r="L7" s="12"/>
      <c r="M7" s="12"/>
      <c r="N7" s="12"/>
    </row>
    <row r="8" spans="1:14" x14ac:dyDescent="0.2">
      <c r="A8" s="13">
        <v>2</v>
      </c>
      <c r="B8" s="13"/>
      <c r="C8" s="13" t="s">
        <v>10</v>
      </c>
      <c r="D8" s="13" t="s">
        <v>33</v>
      </c>
      <c r="E8" s="13" t="s">
        <v>14</v>
      </c>
      <c r="F8" s="13" t="s">
        <v>31</v>
      </c>
      <c r="G8" s="13" t="s">
        <v>14</v>
      </c>
      <c r="H8" s="13" t="s">
        <v>32</v>
      </c>
      <c r="I8" s="14">
        <v>11.06</v>
      </c>
      <c r="J8" s="14">
        <f>A8*I8</f>
        <v>22.12</v>
      </c>
      <c r="K8" s="12" t="s">
        <v>44</v>
      </c>
      <c r="L8" s="12"/>
      <c r="M8" s="12"/>
      <c r="N8" s="12"/>
    </row>
    <row r="9" spans="1:14" x14ac:dyDescent="0.2">
      <c r="A9" s="13">
        <v>7</v>
      </c>
      <c r="B9" s="13"/>
      <c r="C9" s="13" t="s">
        <v>10</v>
      </c>
      <c r="D9" s="13" t="s">
        <v>15</v>
      </c>
      <c r="E9" s="13" t="s">
        <v>14</v>
      </c>
      <c r="F9" s="13" t="s">
        <v>17</v>
      </c>
      <c r="G9" s="13" t="s">
        <v>14</v>
      </c>
      <c r="H9" s="13" t="s">
        <v>17</v>
      </c>
      <c r="I9" s="15">
        <v>3.9089999999999998</v>
      </c>
      <c r="J9" s="14">
        <f t="shared" ref="J9:J10" si="0">A9*I9</f>
        <v>27.363</v>
      </c>
      <c r="K9" s="12" t="s">
        <v>44</v>
      </c>
      <c r="L9" s="12"/>
      <c r="M9" s="12"/>
      <c r="N9" s="12"/>
    </row>
    <row r="10" spans="1:14" x14ac:dyDescent="0.2">
      <c r="A10" s="13">
        <v>1</v>
      </c>
      <c r="B10" s="13"/>
      <c r="C10" s="13" t="s">
        <v>10</v>
      </c>
      <c r="D10" s="13" t="s">
        <v>18</v>
      </c>
      <c r="E10" s="13" t="s">
        <v>14</v>
      </c>
      <c r="F10" s="13" t="s">
        <v>19</v>
      </c>
      <c r="G10" s="13" t="s">
        <v>14</v>
      </c>
      <c r="H10" s="13" t="s">
        <v>19</v>
      </c>
      <c r="I10" s="14">
        <v>0.9</v>
      </c>
      <c r="J10" s="14">
        <f t="shared" si="0"/>
        <v>0.9</v>
      </c>
      <c r="K10" s="12" t="s">
        <v>44</v>
      </c>
      <c r="L10" s="12"/>
      <c r="M10" s="12"/>
      <c r="N10" s="12"/>
    </row>
    <row r="11" spans="1:14" x14ac:dyDescent="0.2">
      <c r="A11" s="13">
        <v>1</v>
      </c>
      <c r="B11" s="13"/>
      <c r="C11" s="13" t="s">
        <v>11</v>
      </c>
      <c r="D11" s="13" t="s">
        <v>37</v>
      </c>
      <c r="E11" s="13" t="s">
        <v>34</v>
      </c>
      <c r="F11" s="13" t="s">
        <v>35</v>
      </c>
      <c r="G11" s="13" t="s">
        <v>36</v>
      </c>
      <c r="H11" s="13">
        <v>358</v>
      </c>
      <c r="I11" s="14">
        <v>19.96</v>
      </c>
      <c r="J11" s="14">
        <f>A11*I11</f>
        <v>19.96</v>
      </c>
      <c r="K11" s="12" t="s">
        <v>16</v>
      </c>
      <c r="L11" s="12"/>
      <c r="M11" s="12"/>
      <c r="N11" s="12"/>
    </row>
    <row r="12" spans="1:14" x14ac:dyDescent="0.2">
      <c r="A12" s="13">
        <v>1</v>
      </c>
      <c r="B12" s="13"/>
      <c r="C12" s="13" t="s">
        <v>13</v>
      </c>
      <c r="D12" s="16" t="s">
        <v>51</v>
      </c>
      <c r="E12" s="13" t="s">
        <v>50</v>
      </c>
      <c r="F12" s="13" t="s">
        <v>49</v>
      </c>
      <c r="G12" s="13" t="s">
        <v>52</v>
      </c>
      <c r="H12" s="13" t="s">
        <v>53</v>
      </c>
      <c r="I12" s="14">
        <v>1.68</v>
      </c>
      <c r="J12" s="14">
        <f>A12*I12</f>
        <v>1.68</v>
      </c>
      <c r="K12" s="12"/>
      <c r="L12" s="12"/>
      <c r="M12" s="12"/>
      <c r="N12" s="12"/>
    </row>
    <row r="13" spans="1:14" x14ac:dyDescent="0.2">
      <c r="A13" s="13">
        <v>1</v>
      </c>
      <c r="B13" s="13"/>
      <c r="C13" s="13" t="s">
        <v>57</v>
      </c>
      <c r="D13" s="16" t="s">
        <v>54</v>
      </c>
      <c r="E13" s="13" t="s">
        <v>59</v>
      </c>
      <c r="F13" s="13">
        <v>12935</v>
      </c>
      <c r="G13" s="13" t="s">
        <v>9</v>
      </c>
      <c r="H13" s="13" t="s">
        <v>55</v>
      </c>
      <c r="I13" s="14" t="s">
        <v>56</v>
      </c>
      <c r="J13" s="14">
        <v>0</v>
      </c>
      <c r="K13" s="12"/>
      <c r="L13" s="12"/>
      <c r="M13" s="12"/>
      <c r="N13" s="12"/>
    </row>
    <row r="14" spans="1:14" x14ac:dyDescent="0.2">
      <c r="A14" s="13">
        <v>16</v>
      </c>
      <c r="B14" s="13"/>
      <c r="C14" s="13" t="s">
        <v>63</v>
      </c>
      <c r="D14" s="13" t="s">
        <v>60</v>
      </c>
      <c r="E14" s="13" t="s">
        <v>58</v>
      </c>
      <c r="F14" s="13" t="s">
        <v>61</v>
      </c>
      <c r="G14" s="13" t="s">
        <v>9</v>
      </c>
      <c r="H14" s="13" t="s">
        <v>62</v>
      </c>
      <c r="I14" s="15">
        <v>0.18</v>
      </c>
      <c r="J14" s="14">
        <f>I14*A14</f>
        <v>2.88</v>
      </c>
      <c r="K14" s="12"/>
      <c r="L14" s="12"/>
      <c r="M14" s="12"/>
      <c r="N14" s="12"/>
    </row>
    <row r="15" spans="1:14" x14ac:dyDescent="0.2">
      <c r="A15" s="13"/>
      <c r="B15" s="13"/>
      <c r="C15" s="13"/>
      <c r="D15" s="13"/>
      <c r="E15" s="13"/>
      <c r="F15" s="13"/>
      <c r="G15" s="13"/>
      <c r="H15" s="13"/>
      <c r="I15" s="14"/>
      <c r="J15" s="14"/>
      <c r="K15" s="12"/>
      <c r="L15" s="12"/>
      <c r="M15" s="12"/>
      <c r="N15" s="12"/>
    </row>
    <row r="16" spans="1:14" x14ac:dyDescent="0.2">
      <c r="A16" s="13"/>
      <c r="B16" s="13"/>
      <c r="C16" s="13"/>
      <c r="D16" s="13"/>
      <c r="E16" s="13"/>
      <c r="F16" s="13"/>
      <c r="G16" s="13"/>
      <c r="H16" s="13"/>
      <c r="I16" s="14"/>
      <c r="J16" s="14"/>
      <c r="K16" s="12"/>
      <c r="L16" s="12"/>
      <c r="M16" s="12"/>
      <c r="N16" s="12"/>
    </row>
    <row r="17" spans="1:14" x14ac:dyDescent="0.2">
      <c r="A17" s="13"/>
      <c r="B17" s="13"/>
      <c r="C17" s="13"/>
      <c r="D17" s="13"/>
      <c r="E17" s="13"/>
      <c r="F17" s="13"/>
      <c r="G17" s="13"/>
      <c r="H17" s="13"/>
      <c r="I17" s="14"/>
      <c r="J17" s="14"/>
      <c r="K17" s="12"/>
      <c r="L17" s="12"/>
      <c r="M17" s="12"/>
      <c r="N17" s="12"/>
    </row>
    <row r="21" spans="1:14" x14ac:dyDescent="0.2">
      <c r="E21" s="1"/>
      <c r="F21" s="1"/>
      <c r="H21" s="1"/>
    </row>
    <row r="22" spans="1:14" x14ac:dyDescent="0.2">
      <c r="E22" s="1"/>
      <c r="F22" s="1"/>
      <c r="H22" s="1"/>
    </row>
    <row r="23" spans="1:14" x14ac:dyDescent="0.2">
      <c r="E23" s="1"/>
      <c r="F23" s="1"/>
      <c r="H23" s="1"/>
    </row>
    <row r="24" spans="1:14" x14ac:dyDescent="0.2">
      <c r="E24" s="1"/>
      <c r="F24" s="1"/>
      <c r="H24" s="1"/>
    </row>
    <row r="25" spans="1:14" x14ac:dyDescent="0.2">
      <c r="E25" s="1"/>
      <c r="F25" s="1"/>
      <c r="H25" s="1"/>
    </row>
    <row r="26" spans="1:14" x14ac:dyDescent="0.2">
      <c r="E26" s="1"/>
      <c r="F26" s="1"/>
      <c r="H26" s="1"/>
    </row>
    <row r="27" spans="1:14" x14ac:dyDescent="0.2">
      <c r="E27" s="1"/>
      <c r="F27" s="1"/>
      <c r="H27" s="1"/>
    </row>
    <row r="28" spans="1:14" x14ac:dyDescent="0.2">
      <c r="E28" s="1"/>
      <c r="F28" s="1"/>
      <c r="H28" s="1"/>
    </row>
    <row r="29" spans="1:14" x14ac:dyDescent="0.2">
      <c r="E29" s="1"/>
      <c r="F29" s="1"/>
      <c r="H29" s="1"/>
    </row>
    <row r="30" spans="1:14" x14ac:dyDescent="0.2">
      <c r="E30" s="1"/>
      <c r="F30" s="1"/>
      <c r="H30" s="1"/>
    </row>
    <row r="31" spans="1:14" x14ac:dyDescent="0.2">
      <c r="E31" s="1"/>
      <c r="F31" s="1"/>
      <c r="H31" s="1"/>
    </row>
    <row r="32" spans="1:14" x14ac:dyDescent="0.2">
      <c r="E32" s="1"/>
      <c r="F32" s="1"/>
      <c r="H32" s="1"/>
    </row>
    <row r="33" spans="5:8" x14ac:dyDescent="0.2">
      <c r="E33" s="1"/>
      <c r="F33" s="1"/>
      <c r="H33" s="1"/>
    </row>
    <row r="34" spans="5:8" x14ac:dyDescent="0.2">
      <c r="E34" s="1"/>
      <c r="F34" s="1"/>
      <c r="H34" s="1"/>
    </row>
    <row r="35" spans="5:8" x14ac:dyDescent="0.2">
      <c r="E35" s="1"/>
      <c r="F35" s="1"/>
      <c r="H35" s="1"/>
    </row>
    <row r="36" spans="5:8" x14ac:dyDescent="0.2">
      <c r="E36" s="1"/>
      <c r="F36" s="1"/>
      <c r="H36" s="1"/>
    </row>
    <row r="37" spans="5:8" x14ac:dyDescent="0.2">
      <c r="E37" s="1"/>
      <c r="F37" s="1"/>
      <c r="H37" s="1"/>
    </row>
    <row r="38" spans="5:8" x14ac:dyDescent="0.2">
      <c r="E38" s="1"/>
      <c r="F38" s="1"/>
      <c r="H38" s="1"/>
    </row>
    <row r="39" spans="5:8" x14ac:dyDescent="0.2">
      <c r="E39" s="1"/>
      <c r="F39" s="1"/>
      <c r="H39" s="1"/>
    </row>
    <row r="40" spans="5:8" x14ac:dyDescent="0.2">
      <c r="E40" s="1"/>
      <c r="F40" s="1"/>
      <c r="H40" s="1"/>
    </row>
    <row r="41" spans="5:8" x14ac:dyDescent="0.2">
      <c r="E41" s="1"/>
      <c r="F41" s="1"/>
      <c r="H41" s="1"/>
    </row>
    <row r="42" spans="5:8" x14ac:dyDescent="0.2">
      <c r="E42" s="1"/>
      <c r="F42" s="1"/>
      <c r="H42" s="1"/>
    </row>
    <row r="43" spans="5:8" x14ac:dyDescent="0.2">
      <c r="E43" s="1"/>
      <c r="F43" s="1"/>
      <c r="H43" s="1"/>
    </row>
    <row r="44" spans="5:8" x14ac:dyDescent="0.2">
      <c r="E44" s="1"/>
      <c r="F44" s="1"/>
      <c r="H44" s="1"/>
    </row>
    <row r="45" spans="5:8" x14ac:dyDescent="0.2">
      <c r="E45" s="1"/>
      <c r="F45" s="1"/>
      <c r="H45" s="1"/>
    </row>
    <row r="46" spans="5:8" x14ac:dyDescent="0.2">
      <c r="E46" s="1"/>
      <c r="F46" s="1"/>
      <c r="H46" s="1"/>
    </row>
    <row r="47" spans="5:8" x14ac:dyDescent="0.2">
      <c r="E47" s="1"/>
      <c r="F47" s="1"/>
      <c r="H47" s="1"/>
    </row>
    <row r="48" spans="5:8" x14ac:dyDescent="0.2">
      <c r="E48" s="1"/>
      <c r="F48" s="1"/>
      <c r="H48" s="1"/>
    </row>
    <row r="49" spans="5:17" x14ac:dyDescent="0.2">
      <c r="E49" s="1"/>
      <c r="F49" s="1"/>
      <c r="H49" s="1"/>
      <c r="M49" s="12"/>
      <c r="N49" s="12"/>
      <c r="O49" s="12"/>
      <c r="P49" s="12"/>
      <c r="Q49" s="12"/>
    </row>
    <row r="50" spans="5:17" x14ac:dyDescent="0.2">
      <c r="E50" s="1"/>
      <c r="F50" s="1"/>
      <c r="H50" s="1"/>
      <c r="M50" s="12"/>
      <c r="N50" s="12"/>
      <c r="O50" s="12"/>
      <c r="P50" s="12"/>
      <c r="Q50" s="12"/>
    </row>
    <row r="51" spans="5:17" x14ac:dyDescent="0.2">
      <c r="E51" s="1"/>
      <c r="F51" s="1"/>
      <c r="H51" s="1"/>
      <c r="M51" s="12"/>
      <c r="N51" s="12"/>
      <c r="O51" s="12"/>
      <c r="P51" s="12"/>
      <c r="Q51" s="12"/>
    </row>
    <row r="52" spans="5:17" x14ac:dyDescent="0.2">
      <c r="E52" s="1"/>
      <c r="F52" s="1"/>
      <c r="H52" s="1"/>
      <c r="M52" s="12"/>
      <c r="N52" s="12"/>
      <c r="O52" s="12"/>
      <c r="P52" s="12"/>
      <c r="Q52" s="12"/>
    </row>
    <row r="53" spans="5:17" x14ac:dyDescent="0.2">
      <c r="E53" s="1"/>
      <c r="F53" s="1"/>
      <c r="H53" s="1"/>
      <c r="M53" s="12"/>
      <c r="N53" s="12"/>
      <c r="O53" s="12"/>
      <c r="P53" s="12"/>
      <c r="Q53" s="12"/>
    </row>
    <row r="54" spans="5:17" x14ac:dyDescent="0.2">
      <c r="E54" s="1"/>
      <c r="F54" s="1"/>
      <c r="H54" s="1"/>
      <c r="M54" s="12"/>
      <c r="N54" s="12"/>
      <c r="O54" s="12"/>
      <c r="P54" s="12"/>
      <c r="Q54" s="12"/>
    </row>
    <row r="55" spans="5:17" x14ac:dyDescent="0.2">
      <c r="E55" s="1"/>
      <c r="F55" s="1"/>
      <c r="H55" s="1"/>
      <c r="M55" s="12"/>
      <c r="N55" s="12"/>
      <c r="O55" s="12"/>
      <c r="P55" s="12"/>
      <c r="Q55" s="12"/>
    </row>
    <row r="56" spans="5:17" x14ac:dyDescent="0.2">
      <c r="E56" s="1"/>
      <c r="F56" s="1"/>
      <c r="H56" s="1"/>
      <c r="M56" s="12"/>
      <c r="N56" s="12"/>
      <c r="O56" s="12"/>
      <c r="P56" s="12"/>
      <c r="Q56" s="12"/>
    </row>
    <row r="57" spans="5:17" x14ac:dyDescent="0.2">
      <c r="E57" s="1"/>
      <c r="F57" s="1"/>
      <c r="H57" s="1"/>
      <c r="M57" s="12"/>
      <c r="N57" s="12"/>
      <c r="O57" s="12"/>
      <c r="P57" s="12"/>
      <c r="Q57" s="12"/>
    </row>
    <row r="58" spans="5:17" x14ac:dyDescent="0.2">
      <c r="E58" s="1"/>
      <c r="F58" s="1"/>
      <c r="H58" s="1"/>
      <c r="M58" s="12"/>
      <c r="N58" s="12"/>
      <c r="O58" s="12"/>
      <c r="P58" s="12"/>
      <c r="Q58" s="12"/>
    </row>
    <row r="59" spans="5:17" x14ac:dyDescent="0.2">
      <c r="E59" s="1"/>
      <c r="F59" s="1"/>
      <c r="H59" s="1"/>
      <c r="M59" s="12"/>
      <c r="N59" s="12"/>
      <c r="O59" s="12"/>
      <c r="P59" s="12"/>
      <c r="Q59" s="12"/>
    </row>
    <row r="60" spans="5:17" x14ac:dyDescent="0.2">
      <c r="E60" s="1"/>
      <c r="F60" s="1"/>
      <c r="H60" s="1"/>
      <c r="M60" s="12"/>
      <c r="N60" s="12"/>
      <c r="O60" s="12"/>
      <c r="P60" s="12"/>
      <c r="Q60" s="12"/>
    </row>
    <row r="61" spans="5:17" x14ac:dyDescent="0.2">
      <c r="E61" s="1"/>
      <c r="F61" s="1"/>
      <c r="H61" s="1"/>
      <c r="M61" s="12"/>
      <c r="N61" s="12"/>
      <c r="O61" s="12"/>
      <c r="P61" s="12"/>
      <c r="Q61" s="12"/>
    </row>
    <row r="62" spans="5:17" x14ac:dyDescent="0.2">
      <c r="E62" s="1"/>
      <c r="F62" s="1"/>
      <c r="H62" s="1"/>
      <c r="M62" s="12"/>
      <c r="N62" s="12"/>
      <c r="O62" s="12"/>
      <c r="P62" s="12"/>
      <c r="Q62" s="12"/>
    </row>
    <row r="63" spans="5:17" x14ac:dyDescent="0.2">
      <c r="E63" s="1"/>
      <c r="F63" s="1"/>
      <c r="H63" s="1"/>
      <c r="M63" s="12"/>
      <c r="N63" s="12"/>
      <c r="O63" s="12"/>
      <c r="P63" s="12"/>
      <c r="Q63" s="12"/>
    </row>
    <row r="64" spans="5:17" x14ac:dyDescent="0.2">
      <c r="E64" s="1"/>
      <c r="F64" s="1"/>
      <c r="H64" s="1"/>
    </row>
    <row r="65" spans="5:8" x14ac:dyDescent="0.2">
      <c r="E65" s="1"/>
      <c r="F65" s="1"/>
      <c r="H65" s="1"/>
    </row>
    <row r="66" spans="5:8" x14ac:dyDescent="0.2">
      <c r="E66" s="1"/>
      <c r="F66" s="1"/>
      <c r="H66" s="1"/>
    </row>
    <row r="67" spans="5:8" x14ac:dyDescent="0.2">
      <c r="E67" s="1"/>
      <c r="F67" s="1"/>
      <c r="H67" s="1"/>
    </row>
    <row r="68" spans="5:8" x14ac:dyDescent="0.2">
      <c r="E68" s="1"/>
      <c r="F68" s="1"/>
      <c r="H68" s="1"/>
    </row>
    <row r="69" spans="5:8" x14ac:dyDescent="0.2">
      <c r="E69" s="1"/>
      <c r="F69" s="1"/>
      <c r="H69" s="1"/>
    </row>
    <row r="70" spans="5:8" x14ac:dyDescent="0.2">
      <c r="E70" s="1"/>
      <c r="F70" s="1"/>
      <c r="H70" s="1"/>
    </row>
    <row r="71" spans="5:8" x14ac:dyDescent="0.2">
      <c r="E71" s="1"/>
      <c r="F71" s="1"/>
      <c r="H71" s="1"/>
    </row>
    <row r="72" spans="5:8" x14ac:dyDescent="0.2">
      <c r="E72" s="1"/>
      <c r="F72" s="1"/>
      <c r="H72" s="1"/>
    </row>
    <row r="73" spans="5:8" x14ac:dyDescent="0.2">
      <c r="E73" s="1"/>
      <c r="F73" s="1"/>
      <c r="H73" s="1"/>
    </row>
    <row r="74" spans="5:8" x14ac:dyDescent="0.2">
      <c r="E74" s="1"/>
      <c r="F74" s="1"/>
      <c r="H74" s="1"/>
    </row>
    <row r="75" spans="5:8" x14ac:dyDescent="0.2">
      <c r="E75" s="1"/>
      <c r="F75" s="1"/>
      <c r="H75" s="1"/>
    </row>
    <row r="80" spans="5:8" x14ac:dyDescent="0.2">
      <c r="F80" s="1"/>
    </row>
    <row r="84" spans="4:8" x14ac:dyDescent="0.2">
      <c r="D84" s="1"/>
      <c r="E84" s="1"/>
      <c r="H84" s="11"/>
    </row>
  </sheetData>
  <autoFilter ref="A5:J5" xr:uid="{CF09641E-BDFB-4641-9834-C3A89D227975}">
    <sortState xmlns:xlrd2="http://schemas.microsoft.com/office/spreadsheetml/2017/richdata2" ref="A6:J39">
      <sortCondition ref="C5"/>
    </sortState>
  </autoFilter>
  <phoneticPr fontId="2" type="noConversion"/>
  <hyperlinks>
    <hyperlink ref="B4" r:id="rId1" location="common_component_prefixes" display="Reference Designator" xr:uid="{F36204A0-49D8-4165-8C74-F6E91AC86320}"/>
  </hyperlinks>
  <pageMargins left="0.75" right="0.75" top="1" bottom="1" header="0.5" footer="0.5"/>
  <pageSetup orientation="landscape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259CE0-00F5-4859-8537-F4B5EB7CD0DC}">
  <dimension ref="A1:E18"/>
  <sheetViews>
    <sheetView workbookViewId="0">
      <selection activeCell="E18" sqref="A1:E18"/>
    </sheetView>
  </sheetViews>
  <sheetFormatPr baseColWidth="10" defaultColWidth="8.83203125" defaultRowHeight="13" x14ac:dyDescent="0.15"/>
  <sheetData>
    <row r="1" spans="1:5" ht="16" x14ac:dyDescent="0.2">
      <c r="A1" s="3"/>
      <c r="B1" s="1"/>
      <c r="C1" s="1"/>
      <c r="D1" s="3"/>
      <c r="E1" s="1"/>
    </row>
    <row r="2" spans="1:5" ht="16" x14ac:dyDescent="0.2">
      <c r="A2" s="3"/>
      <c r="B2" s="1"/>
      <c r="C2" s="1"/>
      <c r="D2" s="3"/>
      <c r="E2" s="1"/>
    </row>
    <row r="3" spans="1:5" ht="16" x14ac:dyDescent="0.2">
      <c r="A3" s="3"/>
      <c r="B3" s="1"/>
      <c r="C3" s="1"/>
      <c r="D3" s="3"/>
      <c r="E3" s="1"/>
    </row>
    <row r="4" spans="1:5" ht="16" x14ac:dyDescent="0.2">
      <c r="A4" s="3"/>
      <c r="B4" s="1"/>
      <c r="C4" s="1"/>
      <c r="D4" s="3"/>
      <c r="E4" s="1"/>
    </row>
    <row r="5" spans="1:5" ht="16" x14ac:dyDescent="0.2">
      <c r="A5" s="3"/>
      <c r="B5" s="1"/>
      <c r="C5" s="1"/>
      <c r="D5" s="3"/>
      <c r="E5" s="1"/>
    </row>
    <row r="6" spans="1:5" ht="16" x14ac:dyDescent="0.2">
      <c r="A6" s="3"/>
      <c r="B6" s="1"/>
      <c r="C6" s="1"/>
      <c r="D6" s="3"/>
      <c r="E6" s="1"/>
    </row>
    <row r="7" spans="1:5" ht="16" x14ac:dyDescent="0.2">
      <c r="A7" s="3"/>
      <c r="B7" s="1"/>
      <c r="C7" s="1"/>
      <c r="D7" s="3"/>
      <c r="E7" s="1"/>
    </row>
    <row r="8" spans="1:5" ht="16" x14ac:dyDescent="0.2">
      <c r="A8" s="3"/>
      <c r="B8" s="1"/>
      <c r="C8" s="1"/>
      <c r="D8" s="3"/>
      <c r="E8" s="1"/>
    </row>
    <row r="9" spans="1:5" ht="16" x14ac:dyDescent="0.2">
      <c r="A9" s="3"/>
      <c r="B9" s="1"/>
      <c r="C9" s="1"/>
      <c r="D9" s="3"/>
      <c r="E9" s="1"/>
    </row>
    <row r="10" spans="1:5" ht="16" x14ac:dyDescent="0.2">
      <c r="A10" s="3"/>
      <c r="B10" s="1"/>
      <c r="C10" s="1"/>
      <c r="D10" s="3"/>
      <c r="E10" s="1"/>
    </row>
    <row r="11" spans="1:5" ht="16" x14ac:dyDescent="0.2">
      <c r="A11" s="3"/>
      <c r="B11" s="1"/>
      <c r="C11" s="1"/>
      <c r="D11" s="3"/>
      <c r="E11" s="1"/>
    </row>
    <row r="12" spans="1:5" ht="16" x14ac:dyDescent="0.2">
      <c r="A12" s="3"/>
      <c r="B12" s="1"/>
      <c r="C12" s="1"/>
      <c r="D12" s="3"/>
      <c r="E12" s="1"/>
    </row>
    <row r="13" spans="1:5" ht="16" x14ac:dyDescent="0.2">
      <c r="A13" s="3"/>
      <c r="B13" s="1"/>
      <c r="C13" s="1"/>
      <c r="D13" s="3"/>
      <c r="E13" s="1"/>
    </row>
    <row r="14" spans="1:5" ht="16" x14ac:dyDescent="0.2">
      <c r="A14" s="3"/>
      <c r="B14" s="1"/>
      <c r="C14" s="1"/>
      <c r="D14" s="3"/>
      <c r="E14" s="1"/>
    </row>
    <row r="15" spans="1:5" ht="16" x14ac:dyDescent="0.2">
      <c r="A15" s="3"/>
      <c r="B15" s="1"/>
      <c r="C15" s="1"/>
      <c r="D15" s="3"/>
      <c r="E15" s="1"/>
    </row>
    <row r="16" spans="1:5" ht="16" x14ac:dyDescent="0.2">
      <c r="A16" s="3"/>
      <c r="B16" s="1"/>
      <c r="C16" s="1"/>
      <c r="D16" s="3"/>
      <c r="E16" s="1"/>
    </row>
    <row r="17" spans="1:5" ht="16" x14ac:dyDescent="0.2">
      <c r="A17" s="3"/>
      <c r="B17" s="1"/>
      <c r="C17" s="1"/>
      <c r="D17" s="3"/>
      <c r="E17" s="1"/>
    </row>
    <row r="18" spans="1:5" ht="16" x14ac:dyDescent="0.2">
      <c r="A18" s="3"/>
      <c r="B18" s="1"/>
      <c r="C18" s="1"/>
      <c r="D18" s="3"/>
      <c r="E18" s="1"/>
    </row>
  </sheetData>
  <phoneticPr fontId="2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Parts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Valvano</dc:creator>
  <cp:lastModifiedBy>DeLaRosa, Nathan A</cp:lastModifiedBy>
  <cp:lastPrinted>2015-07-07T18:09:59Z</cp:lastPrinted>
  <dcterms:created xsi:type="dcterms:W3CDTF">2009-08-17T02:38:02Z</dcterms:created>
  <dcterms:modified xsi:type="dcterms:W3CDTF">2025-10-22T18:34:12Z</dcterms:modified>
</cp:coreProperties>
</file>