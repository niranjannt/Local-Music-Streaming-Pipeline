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hto\Dev\ECE445L\lab-7-and-10-project-nnat\"/>
    </mc:Choice>
  </mc:AlternateContent>
  <xr:revisionPtr revIDLastSave="0" documentId="13_ncr:1_{1144435A-515C-4686-89FE-6483DAF64C79}" xr6:coauthVersionLast="47" xr6:coauthVersionMax="47" xr10:uidLastSave="{00000000-0000-0000-0000-000000000000}"/>
  <bookViews>
    <workbookView xWindow="-120" yWindow="-120" windowWidth="38640" windowHeight="21120" xr2:uid="{2A746B91-5B93-4559-A98B-A0C4C3CDA5C8}"/>
  </bookViews>
  <sheets>
    <sheet name="BOM_NEW" sheetId="5" r:id="rId1"/>
    <sheet name="BOM_OLD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5" l="1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6" i="5"/>
  <c r="O44" i="4"/>
  <c r="O26" i="4"/>
  <c r="O43" i="4"/>
  <c r="O39" i="4"/>
  <c r="O41" i="4"/>
  <c r="O9" i="4"/>
  <c r="O38" i="4"/>
  <c r="O25" i="4"/>
  <c r="O24" i="4"/>
  <c r="O23" i="4"/>
  <c r="O22" i="4"/>
  <c r="O21" i="4"/>
  <c r="O20" i="4"/>
  <c r="O19" i="4"/>
  <c r="O18" i="4"/>
  <c r="O17" i="4"/>
  <c r="O16" i="4"/>
  <c r="O11" i="4"/>
  <c r="O12" i="4"/>
  <c r="O13" i="4"/>
  <c r="O14" i="4"/>
  <c r="O15" i="4"/>
  <c r="O7" i="4"/>
  <c r="O8" i="4"/>
  <c r="O10" i="4"/>
  <c r="O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ECE_IT</author>
  </authors>
  <commentList>
    <comment ref="A4" authorId="0" shapeId="0" xr:uid="{39C9F48A-E0C5-4BE1-BEC2-AA3B90826AAD}">
      <text>
        <r>
          <rPr>
            <b/>
            <sz val="8"/>
            <color indexed="81"/>
            <rFont val="Tahoma"/>
            <family val="2"/>
          </rPr>
          <t>ECE_IT:</t>
        </r>
        <r>
          <rPr>
            <sz val="8"/>
            <color indexed="81"/>
            <rFont val="Tahoma"/>
            <family val="2"/>
          </rPr>
          <t xml:space="preserve">
How many are on your board. If 0, it should probably not clutter your bom up…
</t>
        </r>
      </text>
    </comment>
    <comment ref="B4" authorId="0" shapeId="0" xr:uid="{F16FCFFB-DD94-4BA0-9B8E-988FB3524D63}">
      <text>
        <r>
          <rPr>
            <b/>
            <sz val="8"/>
            <color indexed="81"/>
            <rFont val="Tahoma"/>
            <family val="2"/>
          </rPr>
          <t>ECE_IT:</t>
        </r>
        <r>
          <rPr>
            <sz val="8"/>
            <color indexed="81"/>
            <rFont val="Tahoma"/>
            <family val="2"/>
          </rPr>
          <t xml:space="preserve">
This is something like C1, R2 , U1, etc.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ECE_IT</author>
  </authors>
  <commentList>
    <comment ref="A4" authorId="0" shapeId="0" xr:uid="{2DC2083D-E7E5-49AF-9E90-E093D21FACBC}">
      <text>
        <r>
          <rPr>
            <b/>
            <sz val="8"/>
            <color indexed="81"/>
            <rFont val="Tahoma"/>
            <family val="2"/>
          </rPr>
          <t>ECE_IT:</t>
        </r>
        <r>
          <rPr>
            <sz val="8"/>
            <color indexed="81"/>
            <rFont val="Tahoma"/>
            <family val="2"/>
          </rPr>
          <t xml:space="preserve">
How many are on your board. If 0, it should probably not clutter your bom up…
</t>
        </r>
      </text>
    </comment>
    <comment ref="B4" authorId="0" shapeId="0" xr:uid="{BB68435B-D105-4A7F-AC7F-1F845944B963}">
      <text>
        <r>
          <rPr>
            <b/>
            <sz val="8"/>
            <color indexed="81"/>
            <rFont val="Tahoma"/>
            <family val="2"/>
          </rPr>
          <t>ECE_IT:</t>
        </r>
        <r>
          <rPr>
            <sz val="8"/>
            <color indexed="81"/>
            <rFont val="Tahoma"/>
            <family val="2"/>
          </rPr>
          <t xml:space="preserve">
This is something like C1, R2 , U1, etc. </t>
        </r>
      </text>
    </comment>
  </commentList>
</comments>
</file>

<file path=xl/sharedStrings.xml><?xml version="1.0" encoding="utf-8"?>
<sst xmlns="http://schemas.openxmlformats.org/spreadsheetml/2006/main" count="1126" uniqueCount="374">
  <si>
    <t>Quantity</t>
  </si>
  <si>
    <t>Description</t>
  </si>
  <si>
    <t>Unit cost</t>
  </si>
  <si>
    <t>Cost</t>
  </si>
  <si>
    <t>Bill of Materials</t>
  </si>
  <si>
    <t>Distributor</t>
  </si>
  <si>
    <t xml:space="preserve">Manufacturer </t>
  </si>
  <si>
    <t>Mfg. P/N</t>
  </si>
  <si>
    <t>P/N</t>
  </si>
  <si>
    <t>Digikey</t>
  </si>
  <si>
    <t>IC</t>
  </si>
  <si>
    <t>LCD</t>
  </si>
  <si>
    <t>Type</t>
  </si>
  <si>
    <t>CPU</t>
  </si>
  <si>
    <t>TI</t>
  </si>
  <si>
    <t>OPA2350 dual op amp</t>
  </si>
  <si>
    <t xml:space="preserve">OPA2350PA </t>
  </si>
  <si>
    <t>LM4041CILPR shunt diode reference</t>
  </si>
  <si>
    <t xml:space="preserve">LM4041CILPR </t>
  </si>
  <si>
    <t>"not free" means you have to buy it</t>
  </si>
  <si>
    <t>"free sample" means you have to order it</t>
  </si>
  <si>
    <t>REF DES</t>
  </si>
  <si>
    <t>REF DES Note</t>
  </si>
  <si>
    <t>Qty Note</t>
  </si>
  <si>
    <t>Where to get it?</t>
  </si>
  <si>
    <t>Inventory</t>
  </si>
  <si>
    <t>EE445L pays for the PCB</t>
  </si>
  <si>
    <t>Cabinet</t>
  </si>
  <si>
    <t xml:space="preserve">Mouser </t>
  </si>
  <si>
    <t>TLV5616</t>
  </si>
  <si>
    <t xml:space="preserve">TLV5616CP </t>
  </si>
  <si>
    <t>TLV5616 12-bit DAC</t>
  </si>
  <si>
    <t>TM4C123GH6PM 64-pin LQFP</t>
  </si>
  <si>
    <t>595-TM4C123GH6PMI</t>
  </si>
  <si>
    <t>TM4C123GH6PMI</t>
  </si>
  <si>
    <t>"Cabinet means in one of the six black cabinets in professsor's office (bring a print out of your SCH")</t>
  </si>
  <si>
    <t>ECE445L Spring 2025</t>
  </si>
  <si>
    <t>ESP32-D0WD-V3</t>
  </si>
  <si>
    <t>Espressif Systems</t>
  </si>
  <si>
    <t>IC RF TXRX+MCU BLE 48QFN</t>
  </si>
  <si>
    <t>DigiKey</t>
  </si>
  <si>
    <t>1904-ESP32-D0WD-V3</t>
  </si>
  <si>
    <t>FT232R FTDI Interface Arduino Platform Evaluation Expansion Board</t>
  </si>
  <si>
    <t>1568-12935-ND</t>
  </si>
  <si>
    <t>N/A</t>
  </si>
  <si>
    <t>SparkFun Electronics</t>
  </si>
  <si>
    <t>U1</t>
  </si>
  <si>
    <t>U2</t>
  </si>
  <si>
    <t>U4</t>
  </si>
  <si>
    <t>U3</t>
  </si>
  <si>
    <t>U7</t>
  </si>
  <si>
    <t>U8, U9, U10, U11, U12, U13, U14</t>
  </si>
  <si>
    <t>Value</t>
  </si>
  <si>
    <t>CAP</t>
  </si>
  <si>
    <t>Footprint</t>
  </si>
  <si>
    <t>0603</t>
  </si>
  <si>
    <t>0.1u</t>
  </si>
  <si>
    <t>1.0u</t>
  </si>
  <si>
    <t>0.01u</t>
  </si>
  <si>
    <t>2.2u</t>
  </si>
  <si>
    <t>C8</t>
  </si>
  <si>
    <t>10p</t>
  </si>
  <si>
    <t>C9, C10</t>
  </si>
  <si>
    <t>C5, C11</t>
  </si>
  <si>
    <t>27n</t>
  </si>
  <si>
    <t>Tolerance</t>
  </si>
  <si>
    <t>Power Raiting</t>
  </si>
  <si>
    <t>1.2n</t>
  </si>
  <si>
    <t>10u</t>
  </si>
  <si>
    <t>Type/Dielectric</t>
  </si>
  <si>
    <t>C15, C16, C27, C28</t>
  </si>
  <si>
    <t>C6, C7, C17, C29</t>
  </si>
  <si>
    <t>C18, C30</t>
  </si>
  <si>
    <t>C19, C20, C31, C32</t>
  </si>
  <si>
    <t>10k</t>
  </si>
  <si>
    <t>20k</t>
  </si>
  <si>
    <t>100k</t>
  </si>
  <si>
    <t>RES</t>
  </si>
  <si>
    <t>200k</t>
  </si>
  <si>
    <t xml:space="preserve">RES </t>
  </si>
  <si>
    <t>75k</t>
  </si>
  <si>
    <t>R5, R11, R17, R33, R39, R45</t>
  </si>
  <si>
    <t>R21, R22, R49, R50</t>
  </si>
  <si>
    <t>R6, R7, R15, R16, R23, R24, R25,R26, R27, R28, R34, R35, R43, R44, R51, R52, R53, R54, R55, R56</t>
  </si>
  <si>
    <t>R58, R59</t>
  </si>
  <si>
    <t>R60</t>
  </si>
  <si>
    <t>1k</t>
  </si>
  <si>
    <t>R61</t>
  </si>
  <si>
    <t>47k</t>
  </si>
  <si>
    <t>R64</t>
  </si>
  <si>
    <t>1M</t>
  </si>
  <si>
    <t>R1, R2, R3, R4, R8, R9, R10, R12, R13, R14, R18, R19, R20, R29, R30, R31, R32, R36, R37, R38, R40, R41, R42, R46, R47, R48, R62, R63, R65,  R66, R67, R68, R69</t>
  </si>
  <si>
    <t>POT</t>
  </si>
  <si>
    <t>0805</t>
  </si>
  <si>
    <t>IC REG LINEAR 3.3V 500MA TO220-3</t>
  </si>
  <si>
    <t>TO220-3</t>
  </si>
  <si>
    <t>n/a</t>
  </si>
  <si>
    <t>500mA</t>
  </si>
  <si>
    <t>LDO</t>
  </si>
  <si>
    <t>LM2937ET-3.3/NOPB</t>
  </si>
  <si>
    <t>926-LM2937ET-3.3NOPB</t>
  </si>
  <si>
    <t>D1, D2</t>
  </si>
  <si>
    <t>Diode</t>
  </si>
  <si>
    <t>1.2V</t>
  </si>
  <si>
    <t>DIODE STANDARD 75V 200MA DO204AH</t>
  </si>
  <si>
    <t>TH</t>
  </si>
  <si>
    <t>200mA</t>
  </si>
  <si>
    <t>Standard</t>
  </si>
  <si>
    <t>1N914</t>
  </si>
  <si>
    <t>Mouser</t>
  </si>
  <si>
    <t>Onsemi</t>
  </si>
  <si>
    <t>512-1N914</t>
  </si>
  <si>
    <t>Checkout Window</t>
  </si>
  <si>
    <t>R76, R77</t>
  </si>
  <si>
    <t>D3, D4</t>
  </si>
  <si>
    <t>20mA</t>
  </si>
  <si>
    <t>1.6V</t>
  </si>
  <si>
    <t>LED RED DIFFUSED T-1 3/4 T/H</t>
  </si>
  <si>
    <t>LED</t>
  </si>
  <si>
    <t>Broadcom Limited</t>
  </si>
  <si>
    <t>516-1323-ND</t>
  </si>
  <si>
    <t>HLMP-D150</t>
  </si>
  <si>
    <t>R70, R71, R72, R73, R74, R75, R76, R80</t>
  </si>
  <si>
    <t>2k</t>
  </si>
  <si>
    <t>50R</t>
  </si>
  <si>
    <t>J2</t>
  </si>
  <si>
    <t>J3</t>
  </si>
  <si>
    <t>CONN</t>
  </si>
  <si>
    <t>J1</t>
  </si>
  <si>
    <t>P120PK-Y25BR10K</t>
  </si>
  <si>
    <t>TT Electrtonics/BI</t>
  </si>
  <si>
    <t>CAP CER 0.1UF 50V X7R 0603</t>
  </si>
  <si>
    <t>X7R</t>
  </si>
  <si>
    <t>50V</t>
  </si>
  <si>
    <t>Samsung Electro-Mechanics</t>
  </si>
  <si>
    <t>CL10B104KB8NFNC</t>
  </si>
  <si>
    <t>187-CL10B104KB8NFNC</t>
  </si>
  <si>
    <t>Taiyo Yuden</t>
  </si>
  <si>
    <t>CAP CER 1UF 10V X7R 0603</t>
  </si>
  <si>
    <t>MSAST168SB7105KTNA01</t>
  </si>
  <si>
    <t>963-MSAST168SB7105KT</t>
  </si>
  <si>
    <t>CAP CER 10000PF 50V C0G/NP0 0603</t>
  </si>
  <si>
    <t>25V</t>
  </si>
  <si>
    <t>Checkout</t>
  </si>
  <si>
    <t>Tant</t>
  </si>
  <si>
    <t>CAP CER 10PF 50V C0G/NP0 0603</t>
  </si>
  <si>
    <t>C0G/NP0</t>
  </si>
  <si>
    <t>Walsin Technology Corporation</t>
  </si>
  <si>
    <t>0603N100F500CT</t>
  </si>
  <si>
    <t>Murata</t>
  </si>
  <si>
    <t>GRM1885C1H103JA01J</t>
  </si>
  <si>
    <t>81-GRM1885C1H103JA1J</t>
  </si>
  <si>
    <t>16V</t>
  </si>
  <si>
    <t>791-0603N100F500CT</t>
  </si>
  <si>
    <t>791-0603B273K250CT</t>
  </si>
  <si>
    <t>CAP CER 0.027UF 25V X7R 0603</t>
  </si>
  <si>
    <t>0603B273K250CT</t>
  </si>
  <si>
    <t>3.6n</t>
  </si>
  <si>
    <t>81-GRM1885C1H362JA1D</t>
  </si>
  <si>
    <t>CAP CER 3600PF 50V C0G/NP0 0603</t>
  </si>
  <si>
    <t>GRM1885C1H362JA01D</t>
  </si>
  <si>
    <t>CAP CER 1200PF 50V C0G/NP0 0603</t>
  </si>
  <si>
    <t>GRM1885C1H122JA01D</t>
  </si>
  <si>
    <t>81-GRM1885C1H122JA01</t>
  </si>
  <si>
    <t>187-CL21B106KPQNNNE</t>
  </si>
  <si>
    <t>CL21B106KPQNNNE</t>
  </si>
  <si>
    <t>10V</t>
  </si>
  <si>
    <t>CAP CER 10UF 10V X7R 0805</t>
  </si>
  <si>
    <t>RNCP0603FTD10K0</t>
  </si>
  <si>
    <t>708-RNCP0603FTD10K0</t>
  </si>
  <si>
    <t>Stackpole Electronics Inc</t>
  </si>
  <si>
    <t>Thin Film</t>
  </si>
  <si>
    <t>1/8W</t>
  </si>
  <si>
    <t>RES 10K OHM 1% 1/8W 0603</t>
  </si>
  <si>
    <t>708-RNCP0603FTD20K0</t>
  </si>
  <si>
    <t>RES 20K OHM 1% 1/8W 0603</t>
  </si>
  <si>
    <t>RNCP0603FTD20K0</t>
  </si>
  <si>
    <t>708-RNCF0603DTE100K</t>
  </si>
  <si>
    <t>RNCF0603DTE100K</t>
  </si>
  <si>
    <t>Thin FIlm</t>
  </si>
  <si>
    <t>1/6W</t>
  </si>
  <si>
    <t>RES SMD 100K OHM 0.5% 1/6W 0603</t>
  </si>
  <si>
    <t>Thick Film</t>
  </si>
  <si>
    <t>603-RC0603DR-07200KL</t>
  </si>
  <si>
    <t>YAGEO</t>
  </si>
  <si>
    <t>RC0603DR-07200KL</t>
  </si>
  <si>
    <t>1/10W</t>
  </si>
  <si>
    <t>RES 200K OHM 0.5% 1/10W 0603</t>
  </si>
  <si>
    <t>603-AF0603FR-0775KL</t>
  </si>
  <si>
    <t>AF0603FR-0775KL</t>
  </si>
  <si>
    <t>RES SMD 75K OHM 1% 1/10W 0603</t>
  </si>
  <si>
    <t>660-RK73B2ATTDD510J</t>
  </si>
  <si>
    <t>RES SMD 51 OHM 5% 1/4W 0805</t>
  </si>
  <si>
    <t>1/4W</t>
  </si>
  <si>
    <t>Thick FIlm</t>
  </si>
  <si>
    <t>RK73B2ATTDD510J</t>
  </si>
  <si>
    <t>660-RN73R1JTD1001D25</t>
  </si>
  <si>
    <t>KOA Speer Electronics, Inc.</t>
  </si>
  <si>
    <t>RN73R1JTTD1001D25</t>
  </si>
  <si>
    <t>RES 1K OHM 0.5% 1/10W 0603</t>
  </si>
  <si>
    <t>603-AC0603FR-1047KL</t>
  </si>
  <si>
    <t>RES 47K OHM 1% 1/10W 0603</t>
  </si>
  <si>
    <t>AC0603FR-1047KL</t>
  </si>
  <si>
    <t>603-RC0603JR-071MP</t>
  </si>
  <si>
    <t>RC0603JR-071MP</t>
  </si>
  <si>
    <t>RES 1M OHM 5% 1/10W 0603</t>
  </si>
  <si>
    <t>858-P120PKY25BR10K</t>
  </si>
  <si>
    <t>POT 10K OHM 1/20W PLASTIC LINEAR</t>
  </si>
  <si>
    <t>1/20W</t>
  </si>
  <si>
    <t>Linear</t>
  </si>
  <si>
    <t>708-RNCP0603FTD2K00</t>
  </si>
  <si>
    <t>RNCP0603FTD2K00</t>
  </si>
  <si>
    <t>2 kOhms ±1% 0.125W, 1/8W Chip Resistor 0603 (1608 Metric) Anti-Sulfur Thin Film</t>
  </si>
  <si>
    <t>Already Owned</t>
  </si>
  <si>
    <t>McDurmot</t>
  </si>
  <si>
    <t>8DIP</t>
  </si>
  <si>
    <t>TO92-3</t>
  </si>
  <si>
    <t>8-DIP</t>
  </si>
  <si>
    <t>ABM3-16.000MHZ-B2-T</t>
  </si>
  <si>
    <t>535-9103-1-ND</t>
  </si>
  <si>
    <t>48QFN</t>
  </si>
  <si>
    <t>CONN JACK STEREO 3.5MM TH R/A</t>
  </si>
  <si>
    <t>Kycon, Inc.</t>
  </si>
  <si>
    <t>STX-3000</t>
  </si>
  <si>
    <t>806-STX-3000</t>
  </si>
  <si>
    <t>R57, R81</t>
  </si>
  <si>
    <t>ST7735R</t>
  </si>
  <si>
    <t>Adafruit Industries LLC</t>
  </si>
  <si>
    <t>DISPL GRAPHIC 1.8 CLR TFT SHIELD</t>
  </si>
  <si>
    <t>1528-1352-ND</t>
  </si>
  <si>
    <t>CONN HEADER VERT 36000POS 2.54MM</t>
  </si>
  <si>
    <t>Amphenol ICC (FCI)</t>
  </si>
  <si>
    <t>77311-418-00LF</t>
  </si>
  <si>
    <t>609-77311-418-00LFCT-ND</t>
  </si>
  <si>
    <t>Y1</t>
  </si>
  <si>
    <t>CRY</t>
  </si>
  <si>
    <t>16.000MHZ</t>
  </si>
  <si>
    <t>Abracon LLC</t>
  </si>
  <si>
    <t>SMD</t>
  </si>
  <si>
    <t>CRYSTAL 16.0000MHZ 18PF SMD</t>
  </si>
  <si>
    <t>5POS</t>
  </si>
  <si>
    <r>
      <t xml:space="preserve">"Professor" means ask your professor quantity and style will vary </t>
    </r>
    <r>
      <rPr>
        <b/>
        <sz val="12"/>
        <color indexed="10"/>
        <rFont val="Arial"/>
        <family val="2"/>
      </rPr>
      <t>(bring a print out of your SCH circuit</t>
    </r>
    <r>
      <rPr>
        <b/>
        <sz val="12"/>
        <rFont val="Arial"/>
        <family val="2"/>
      </rPr>
      <t>)</t>
    </r>
  </si>
  <si>
    <r>
      <t>"Box means in box in your professor's office (</t>
    </r>
    <r>
      <rPr>
        <b/>
        <sz val="12"/>
        <color indexed="10"/>
        <rFont val="Arial"/>
        <family val="2"/>
      </rPr>
      <t>bring a print out of your SCH circuit</t>
    </r>
    <r>
      <rPr>
        <b/>
        <sz val="12"/>
        <rFont val="Arial"/>
        <family val="2"/>
      </rPr>
      <t>)</t>
    </r>
  </si>
  <si>
    <t>U16</t>
  </si>
  <si>
    <t>U5, U15</t>
  </si>
  <si>
    <t>KYOCERA AVX</t>
  </si>
  <si>
    <t>F931E225KAA</t>
  </si>
  <si>
    <t>647-F931E225KAA</t>
  </si>
  <si>
    <t>1206</t>
  </si>
  <si>
    <t>CAP TANT 2.2UF 10% 25V 1206</t>
  </si>
  <si>
    <t>https://www.samsungsem.com/resources/file/global/support/product_catalog/MLCC.pdf</t>
  </si>
  <si>
    <t>https://mm.digikey.com/Volume0/opasdata/d220001/medias/docus/4819/TMK107B7105KA-T_SS.pdf</t>
  </si>
  <si>
    <t>https://search.murata.co.jp/Ceramy/image/img/A01X/G101/ENG/GRM1885C1H103JA01-01.pdf</t>
  </si>
  <si>
    <t>https://datasheets.kyocera-avx.com/F93.pdf</t>
  </si>
  <si>
    <t>https://www.passivecomponent.com/wp-content/uploads/datasheet/WTC_MLCC_General_Purpose.pdf</t>
  </si>
  <si>
    <t>https://search.murata.co.jp/Ceramy/image/img/A01X/G101/ENG/GRM1885C1H362JA01-01A.pdf</t>
  </si>
  <si>
    <t>https://search.murata.co.jp/Ceramy/image/img/A01X/G101/ENG/GRM1885C1H122JA01-01.pdf</t>
  </si>
  <si>
    <t>https://mm.digikey.com/Volume0/opasdata/d220001/medias/docus/993/CL21B106KPQNNNE_Spec.pdf</t>
  </si>
  <si>
    <t>https://www.seielect.com/catalog/SEI-RNCP.pdf</t>
  </si>
  <si>
    <t>https://www.seielect.com/catalog/SEI-RNCF.pdf</t>
  </si>
  <si>
    <t>https://www.yageogroup.com/content/datasheet/asset/file/PYU-RC_GROUP_51_ROHS_L</t>
  </si>
  <si>
    <t>https://www.yageogroup.com/content/Resource%20Library/Datasheet/PYU-AF_51_ROHS_L.pdf</t>
  </si>
  <si>
    <t>https://www.koaspeer.com/pdfs/RK73B.pdf</t>
  </si>
  <si>
    <t>https://www.koaspeer.com/pdfs/RN73R.pdf</t>
  </si>
  <si>
    <t>https://www.yageogroup.com/content/datasheet/asset/file/PYU-AC_51_ROHS_L</t>
  </si>
  <si>
    <t>https://www.yageogroup.com/content/datasheet/asset/file/PYU-RC_51_ROHS_P</t>
  </si>
  <si>
    <t>https://mm.digikey.com/Volume0/opasdata/d220001/medias/docus/569/P120_Series_DS.pdf</t>
  </si>
  <si>
    <t>Q1, Q2, Q3, Q4, Q5, Q6, Q7, Q8, Q9, Q10, Q11, Q12, Q13, Q14, Q15, Q16, Q17, Q18</t>
  </si>
  <si>
    <t>FET</t>
  </si>
  <si>
    <t>MMBT2222ALT1G</t>
  </si>
  <si>
    <t>https://www.mouser.com/datasheet/3/101/1/MMBT2222LT1-D.PDF</t>
  </si>
  <si>
    <t>npn</t>
  </si>
  <si>
    <t>TRANS NPN 40V 0.6A SOT23-3</t>
  </si>
  <si>
    <t>SOT23-3</t>
  </si>
  <si>
    <t>https://www.ti.com/lit/ds/symlink/tm4c123gh6pm.pdf?HQS=dis-dk-null-digikeymode-dsf-pf-null-wwe&amp;ts=1761592135417</t>
  </si>
  <si>
    <t>https://documentation.espressif.com/esp32_datasheet_en.pdf</t>
  </si>
  <si>
    <t>https://mm.digikey.com/Volume0/opasdata/d220001/medias/docus/2289/FTDI_SmartBasic_Hookup_Guide.pdf</t>
  </si>
  <si>
    <t>https://www.ti.com/lit/ds/symlink/lm2937.pdf</t>
  </si>
  <si>
    <t>https://www.ti.com/general/docs/suppproductinfo.tsp?distId=10&amp;gotoUrl=https%3A%2F%2Fwww.ti.com%2Flit%2Fgpn%2Ftlv5616</t>
  </si>
  <si>
    <t>https://www.ti.com/general/docs/suppproductinfo.tsp?distId=10&amp;gotoUrl=https%3A%2F%2Fwww.ti.com%2Flit%2Fgpn%2Flm4041c</t>
  </si>
  <si>
    <t>https://www.ti.com/lit/ds/symlink/opa350.pdf?HQS=dis-dk-null-digikeymode-dsf-pf-null-wwe&amp;ts=1761536704713&amp;ref_url=https%253A%252F%252Fwww.ti.com%252Fgeneral%252Fdocs%252Fsuppproductinfo.tsp%253FdistId%253D10%2526gotoUrl%253Dhttps%253A%252F%252Fwww.ti.com%252Flit%252Fgpn%252Fopa350</t>
  </si>
  <si>
    <t>https://cdn-shop.adafruit.com/datasheets/ST7735R_V0.2.pdf</t>
  </si>
  <si>
    <t>https://users.ece.utexas.edu/%7Evalvano/Datasheets/1N914.pdf</t>
  </si>
  <si>
    <t>https://users.ece.utexas.edu/%7Evalvano/Datasheets/LEDHLMP-D150.pdf</t>
  </si>
  <si>
    <t>https://cdn.amphenol-cs.com/media/wysiwyg/files/documentation/datasheet/boardwiretoboard/bwb_bergstik.pdf</t>
  </si>
  <si>
    <t>https://www.kycon.com/Pub_Eng_Draw/STX-3000.pdf</t>
  </si>
  <si>
    <t>https://abracon.com/Resonators/ABM3.pdf</t>
  </si>
  <si>
    <t>SW</t>
  </si>
  <si>
    <t>https://users.ece.utexas.edu/%7Evalvano/Datasheets/B3F-1059.pdf</t>
  </si>
  <si>
    <t>SWITCH TACTILE SPST-NO 0.05A 24V</t>
  </si>
  <si>
    <t>5ma</t>
  </si>
  <si>
    <t>B3F-1000</t>
  </si>
  <si>
    <t>Omron Electronics Inc-EMC Div</t>
  </si>
  <si>
    <t>SW400-ND</t>
  </si>
  <si>
    <t>863-MMBT2222ALT1G</t>
  </si>
  <si>
    <t>C1, C2, C3, C4, C12,  C14, C22, C23, C24, C25, C26, C33, C34, C35, C36, C37, C38</t>
  </si>
  <si>
    <t>C13, C21, C40</t>
  </si>
  <si>
    <t>R85, R86</t>
  </si>
  <si>
    <t>5K1</t>
  </si>
  <si>
    <t>2479774-1</t>
  </si>
  <si>
    <t>571-2479774-1</t>
  </si>
  <si>
    <t>USB-C CHARGE ONLY RECEPTACLE,6 P</t>
  </si>
  <si>
    <t>3A</t>
  </si>
  <si>
    <t>TE Connectivity Linx</t>
  </si>
  <si>
    <t>SW1, SW2, SW3, SW4, S5, SW6, SW7, SW8</t>
  </si>
  <si>
    <t>SW9</t>
  </si>
  <si>
    <t>SWITCH TOGGLE SPST 3A 125V</t>
  </si>
  <si>
    <t>3A/125V</t>
  </si>
  <si>
    <t>Adam Tech</t>
  </si>
  <si>
    <t>SW-T3-1A-A-A3-S1</t>
  </si>
  <si>
    <t>737-SW-T3-1A-A-A3-S1</t>
  </si>
  <si>
    <t>https://www.mouser.com/datasheet/3/6015/1/sw-t3-1a-a-a3-s1-data-sheet.pdf</t>
  </si>
  <si>
    <t>https://www.te.com/commerce/DocumentDelivery/DDEController?Action=showdoc&amp;DocId=Data+Sheet%7Fdnd-fly-usb-type-c-charge-only-en-0324%7F2404%7Fpdf%7FEnglish%7FENG_DS_dnd-fly-usb-type-c-charge-only-en-0324_2404.pdf%7F2479774-1</t>
  </si>
  <si>
    <t>RT0603FRD075K1L</t>
  </si>
  <si>
    <t>603-RT0603FRD075K1L</t>
  </si>
  <si>
    <t>https://www.mouser.com/datasheet/3/508/1/PYu-RT_1-to-0.01_RoHS_L_15.pdf</t>
  </si>
  <si>
    <t>RES SMD 5.1K OHM 1% 1/10W 0603</t>
  </si>
  <si>
    <t>C2, C25, C37</t>
  </si>
  <si>
    <t>C4, C11</t>
  </si>
  <si>
    <t>C6, C14</t>
  </si>
  <si>
    <t>C1, C3, C5, C8, C9, C10, C21, C22, C23, C24, C26, C33, C34, C35, C36, C38, C39, C40</t>
  </si>
  <si>
    <t>C7</t>
  </si>
  <si>
    <t>C12, C13</t>
  </si>
  <si>
    <t xml:space="preserve">C15, C17, C27, C29 </t>
  </si>
  <si>
    <t>C16, C18, C28, C30</t>
  </si>
  <si>
    <t>C19, C31</t>
  </si>
  <si>
    <t>30n</t>
  </si>
  <si>
    <t>Q1, Q2, Q3, Q4, Q5, Q6, Q7, Q8, Q9, Q10, Q11, Q12, Q13, Q14, Q15, Q16</t>
  </si>
  <si>
    <t>R1, R2</t>
  </si>
  <si>
    <t>R3</t>
  </si>
  <si>
    <t>R4</t>
  </si>
  <si>
    <t>R5, R7, R8, R9, R14, R15, R16, R17, R21, R22, R24, R26, R27, R39, R40, R41, R46, R47, R48, R49, R53, R54, R55, R57, R58, R70, R71, R72, R73, R74, R75, R76</t>
  </si>
  <si>
    <t>R6</t>
  </si>
  <si>
    <t>R10, R11, R18, R19, R32, R33, R34, R35, R36, R38, R42, R43, R50 , R51, R63, R64, R65, R66, R67, R69</t>
  </si>
  <si>
    <t>R12, R13, R20, R44, R45, R52</t>
  </si>
  <si>
    <t>R23</t>
  </si>
  <si>
    <t>0R</t>
  </si>
  <si>
    <t>R25, R56</t>
  </si>
  <si>
    <t>7.5k</t>
  </si>
  <si>
    <t>R28, R59</t>
  </si>
  <si>
    <t>40k</t>
  </si>
  <si>
    <t>R29, R60</t>
  </si>
  <si>
    <t>3.3k</t>
  </si>
  <si>
    <t>R30, R31, R61, R62</t>
  </si>
  <si>
    <t>R37, R68</t>
  </si>
  <si>
    <t>R86, R87</t>
  </si>
  <si>
    <t xml:space="preserve"> SW2, SW3, SW4, SW5, SW6, SW7, SW8</t>
  </si>
  <si>
    <t>SW1</t>
  </si>
  <si>
    <t>R77, R78, R79, R80, R81, R82, R83, R84</t>
  </si>
  <si>
    <t>U5</t>
  </si>
  <si>
    <t>U6, U7, U8, U9, U11, U12, U13, U14</t>
  </si>
  <si>
    <t>U10, U15</t>
  </si>
  <si>
    <t>R85, R88</t>
  </si>
  <si>
    <t>CAP CER 3000PF 50V C0G/NP0 0603</t>
  </si>
  <si>
    <t>GCM1885C1H302JA16D</t>
  </si>
  <si>
    <t>81-GCM1885C1H302JA6D</t>
  </si>
  <si>
    <t>791-RMC1/16JPTP</t>
  </si>
  <si>
    <t>https://www.mouser.com/catalog/specsheets/Kamaya_RMC_series_8_2022.pdf</t>
  </si>
  <si>
    <t>https://mm.digikey.com/Volume0/opasdata/d220001/medias/docus/4832/RMC_Style_DS.pdf</t>
  </si>
  <si>
    <t>RES 0 OHM JUMPER 0603</t>
  </si>
  <si>
    <t>1/16W</t>
  </si>
  <si>
    <t>Kamaya</t>
  </si>
  <si>
    <t>RMC1/16JPTP</t>
  </si>
  <si>
    <t>708-RNCP0603FTD7K50</t>
  </si>
  <si>
    <t>https://www.mouser.com/datasheet/3/1099/1/SEI-RNCP.pdf</t>
  </si>
  <si>
    <t>RNCP0603FTD7K50</t>
  </si>
  <si>
    <t>RES 7.5K OHM 1% 1/8W 0603</t>
  </si>
  <si>
    <t>603-RT0603BRD0740KL</t>
  </si>
  <si>
    <t>RT0603BRD0740KL</t>
  </si>
  <si>
    <t>RES 40K OHM 0.1% 1/10W 0603</t>
  </si>
  <si>
    <t>708-RMCF0603JT3K30</t>
  </si>
  <si>
    <t>https://www.mouser.com/datasheet/3/1099/1/SEI_RMCF_RMCP.pdf</t>
  </si>
  <si>
    <t>RMCF0603JT3K30</t>
  </si>
  <si>
    <t>RES 3.3K OHM 5% 1/10W 0603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</si>
</sst>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&quot;$&quot;#,##0.00"/>
    <numFmt numFmtId="165" formatCode="[$-409]mmmm\ d\,\ yyyy;@"/>
  </numFmts>
  <fonts count="17" x14ac:knownFonts="1">
    <font>
      <sz val="10"/>
      <name val="Arial"/>
    </font>
    <font>
      <sz val="12"/>
      <name val="Times New Roman"/>
      <family val="1"/>
    </font>
    <font>
      <u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rgb="FF006100"/>
      <name val="Calibri"/>
      <family val="2"/>
      <scheme val="minor"/>
    </font>
    <font>
      <sz val="12"/>
      <color rgb="FF222222"/>
      <name val="Arial"/>
      <family val="2"/>
    </font>
    <font>
      <sz val="12"/>
      <color rgb="FF444444"/>
      <name val="Arial"/>
      <family val="2"/>
    </font>
    <font>
      <sz val="10"/>
      <name val="Arial"/>
      <family val="2"/>
    </font>
    <font>
      <sz val="12"/>
      <color rgb="FF333333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rgb="FFFF6600"/>
      <name val="Arial"/>
      <family val="2"/>
    </font>
    <font>
      <b/>
      <sz val="12"/>
      <color rgb="FF008000"/>
      <name val="Arial"/>
      <family val="2"/>
    </font>
    <font>
      <b/>
      <sz val="12"/>
      <color indexed="10"/>
      <name val="Arial"/>
      <family val="2"/>
    </font>
    <font>
      <u/>
      <sz val="12"/>
      <color indexed="12"/>
      <name val="Arial"/>
      <family val="2"/>
    </font>
    <font>
      <b/>
      <sz val="12"/>
      <color rgb="FF0061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2" borderId="0" applyNumberFormat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1" fillId="0" borderId="0" xfId="0" applyFont="1"/>
    <xf numFmtId="8" fontId="6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left"/>
    </xf>
    <xf numFmtId="164" fontId="10" fillId="0" borderId="0" xfId="0" applyNumberFormat="1" applyFont="1" applyAlignment="1">
      <alignment horizontal="right"/>
    </xf>
    <xf numFmtId="0" fontId="10" fillId="0" borderId="0" xfId="0" applyFont="1"/>
    <xf numFmtId="0" fontId="11" fillId="0" borderId="0" xfId="0" applyFont="1" applyAlignment="1">
      <alignment horizontal="left"/>
    </xf>
    <xf numFmtId="165" fontId="11" fillId="0" borderId="0" xfId="0" applyNumberFormat="1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5" fillId="0" borderId="0" xfId="2" applyFont="1" applyAlignment="1" applyProtection="1">
      <alignment horizontal="left"/>
    </xf>
    <xf numFmtId="0" fontId="11" fillId="0" borderId="0" xfId="0" applyFont="1"/>
    <xf numFmtId="0" fontId="16" fillId="2" borderId="0" xfId="1" applyFont="1" applyAlignment="1">
      <alignment horizontal="left"/>
    </xf>
    <xf numFmtId="0" fontId="10" fillId="0" borderId="0" xfId="0" quotePrefix="1" applyFont="1"/>
    <xf numFmtId="9" fontId="10" fillId="0" borderId="0" xfId="0" quotePrefix="1" applyNumberFormat="1" applyFont="1"/>
    <xf numFmtId="9" fontId="10" fillId="0" borderId="0" xfId="0" applyNumberFormat="1" applyFont="1"/>
    <xf numFmtId="10" fontId="10" fillId="0" borderId="0" xfId="0" applyNumberFormat="1" applyFont="1"/>
    <xf numFmtId="164" fontId="10" fillId="0" borderId="0" xfId="0" applyNumberFormat="1" applyFont="1"/>
    <xf numFmtId="164" fontId="8" fillId="0" borderId="0" xfId="0" applyNumberFormat="1" applyFont="1"/>
    <xf numFmtId="164" fontId="0" fillId="0" borderId="0" xfId="0" applyNumberFormat="1"/>
    <xf numFmtId="0" fontId="10" fillId="0" borderId="0" xfId="0" applyFont="1" applyAlignment="1">
      <alignment horizontal="right"/>
    </xf>
  </cellXfs>
  <cellStyles count="3">
    <cellStyle name="Good" xfId="1" builtinId="26"/>
    <cellStyle name="Hyperlink" xfId="2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://projects.ece.utexas.edu/valvano/wiki/doku.php?id=pcbartist:schematic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://projects.ece.utexas.edu/valvano/wiki/doku.php?id=pcbartist:schema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D64F8-5E1F-4E3A-9888-F591BAAE8F3C}">
  <dimension ref="A1:Q52"/>
  <sheetViews>
    <sheetView tabSelected="1" zoomScale="77" zoomScaleNormal="100" workbookViewId="0">
      <selection activeCell="J45" sqref="J45"/>
    </sheetView>
  </sheetViews>
  <sheetFormatPr defaultRowHeight="12.75" x14ac:dyDescent="0.2"/>
  <cols>
    <col min="2" max="2" width="21.85546875" customWidth="1"/>
    <col min="4" max="4" width="28.85546875" bestFit="1" customWidth="1"/>
    <col min="5" max="5" width="28.85546875" customWidth="1"/>
    <col min="6" max="6" width="9.7109375" customWidth="1"/>
    <col min="7" max="7" width="10" customWidth="1"/>
    <col min="8" max="8" width="14" bestFit="1" customWidth="1"/>
    <col min="9" max="9" width="15.28515625" bestFit="1" customWidth="1"/>
    <col min="10" max="10" width="51" customWidth="1"/>
    <col min="11" max="11" width="24.28515625" bestFit="1" customWidth="1"/>
    <col min="12" max="12" width="41.5703125" bestFit="1" customWidth="1"/>
    <col min="16" max="16" width="15" bestFit="1" customWidth="1"/>
  </cols>
  <sheetData>
    <row r="1" spans="1:17" ht="15.75" x14ac:dyDescent="0.25">
      <c r="A1" s="9" t="s">
        <v>4</v>
      </c>
      <c r="B1" s="9"/>
      <c r="C1" s="9"/>
      <c r="D1" s="10">
        <v>45664</v>
      </c>
      <c r="E1" s="10"/>
      <c r="F1" s="10"/>
      <c r="G1" s="10"/>
      <c r="H1" s="10"/>
      <c r="I1" s="10"/>
      <c r="J1" s="11" t="s">
        <v>19</v>
      </c>
      <c r="K1" s="9"/>
      <c r="L1" s="9" t="s">
        <v>20</v>
      </c>
      <c r="M1" s="9"/>
      <c r="N1" s="7"/>
      <c r="O1" s="7"/>
      <c r="P1" s="8"/>
      <c r="Q1" s="1"/>
    </row>
    <row r="2" spans="1:17" ht="15.75" x14ac:dyDescent="0.25">
      <c r="A2" s="9" t="s">
        <v>36</v>
      </c>
      <c r="B2" s="9"/>
      <c r="C2" s="9"/>
      <c r="D2" s="15" t="s">
        <v>26</v>
      </c>
      <c r="E2" s="15"/>
      <c r="F2" s="15"/>
      <c r="G2" s="15"/>
      <c r="H2" s="15"/>
      <c r="I2" s="15"/>
      <c r="J2" s="12" t="s">
        <v>35</v>
      </c>
      <c r="K2" s="9"/>
      <c r="L2" s="9"/>
      <c r="M2" s="9"/>
      <c r="N2" s="7"/>
      <c r="O2" s="7"/>
      <c r="P2" s="8"/>
      <c r="Q2" s="1"/>
    </row>
    <row r="3" spans="1:17" ht="15.75" x14ac:dyDescent="0.25">
      <c r="A3" s="9"/>
      <c r="B3" s="9"/>
      <c r="C3" s="9"/>
      <c r="D3" s="9"/>
      <c r="E3" s="9"/>
      <c r="F3" s="9"/>
      <c r="G3" s="9"/>
      <c r="H3" s="9"/>
      <c r="I3" s="9"/>
      <c r="J3" s="9" t="s">
        <v>241</v>
      </c>
      <c r="K3" s="9"/>
      <c r="L3" s="9"/>
      <c r="M3" s="9"/>
      <c r="N3" s="7"/>
      <c r="O3" s="7"/>
      <c r="P3" s="8"/>
      <c r="Q3" s="1"/>
    </row>
    <row r="4" spans="1:17" ht="15.75" x14ac:dyDescent="0.25">
      <c r="A4" s="6" t="s">
        <v>23</v>
      </c>
      <c r="B4" s="13" t="s">
        <v>22</v>
      </c>
      <c r="C4" s="6"/>
      <c r="D4" s="6"/>
      <c r="E4" s="6"/>
      <c r="F4" s="6"/>
      <c r="G4" s="6"/>
      <c r="H4" s="6"/>
      <c r="I4" s="6"/>
      <c r="J4" s="14" t="s">
        <v>242</v>
      </c>
      <c r="K4" s="6"/>
      <c r="L4" s="6"/>
      <c r="M4" s="6"/>
      <c r="N4" s="7"/>
      <c r="O4" s="7"/>
      <c r="P4" s="8"/>
      <c r="Q4" s="8"/>
    </row>
    <row r="5" spans="1:17" ht="15" x14ac:dyDescent="0.2">
      <c r="A5" s="6" t="s">
        <v>0</v>
      </c>
      <c r="B5" s="6" t="s">
        <v>21</v>
      </c>
      <c r="C5" s="6" t="s">
        <v>12</v>
      </c>
      <c r="D5" s="6" t="s">
        <v>52</v>
      </c>
      <c r="E5" s="6" t="s">
        <v>1</v>
      </c>
      <c r="F5" s="6" t="s">
        <v>54</v>
      </c>
      <c r="G5" s="6" t="s">
        <v>65</v>
      </c>
      <c r="H5" s="6" t="s">
        <v>66</v>
      </c>
      <c r="I5" s="6" t="s">
        <v>69</v>
      </c>
      <c r="J5" s="6" t="s">
        <v>6</v>
      </c>
      <c r="K5" s="6" t="s">
        <v>7</v>
      </c>
      <c r="L5" s="6" t="s">
        <v>5</v>
      </c>
      <c r="M5" s="6" t="s">
        <v>8</v>
      </c>
      <c r="N5" s="7" t="s">
        <v>2</v>
      </c>
      <c r="O5" s="7" t="s">
        <v>3</v>
      </c>
      <c r="P5" s="8" t="s">
        <v>24</v>
      </c>
      <c r="Q5" s="8" t="s">
        <v>25</v>
      </c>
    </row>
    <row r="6" spans="1:17" ht="15" x14ac:dyDescent="0.2">
      <c r="A6" s="23">
        <v>18</v>
      </c>
      <c r="B6" s="8" t="s">
        <v>320</v>
      </c>
      <c r="C6" s="8" t="s">
        <v>53</v>
      </c>
      <c r="D6" s="8" t="s">
        <v>56</v>
      </c>
      <c r="E6" s="8" t="s">
        <v>131</v>
      </c>
      <c r="F6" s="16" t="s">
        <v>55</v>
      </c>
      <c r="G6" s="17">
        <v>0.1</v>
      </c>
      <c r="H6" s="16" t="s">
        <v>133</v>
      </c>
      <c r="I6" s="16" t="s">
        <v>132</v>
      </c>
      <c r="J6" s="8" t="s">
        <v>134</v>
      </c>
      <c r="K6" s="5" t="s">
        <v>135</v>
      </c>
      <c r="L6" s="8" t="s">
        <v>109</v>
      </c>
      <c r="M6" s="5" t="s">
        <v>136</v>
      </c>
      <c r="N6" s="8">
        <v>1.2999999999999999E-2</v>
      </c>
      <c r="O6" s="8">
        <f>A6*N6</f>
        <v>0.23399999999999999</v>
      </c>
      <c r="P6" s="8" t="s">
        <v>109</v>
      </c>
      <c r="Q6" s="8" t="s">
        <v>250</v>
      </c>
    </row>
    <row r="7" spans="1:17" ht="15" x14ac:dyDescent="0.2">
      <c r="A7" s="23">
        <v>3</v>
      </c>
      <c r="B7" s="8" t="s">
        <v>317</v>
      </c>
      <c r="C7" s="8" t="s">
        <v>53</v>
      </c>
      <c r="D7" s="8" t="s">
        <v>68</v>
      </c>
      <c r="E7" s="8" t="s">
        <v>167</v>
      </c>
      <c r="F7" s="8" t="s">
        <v>93</v>
      </c>
      <c r="G7" s="18">
        <v>0.1</v>
      </c>
      <c r="H7" s="8" t="s">
        <v>166</v>
      </c>
      <c r="I7" s="8" t="s">
        <v>132</v>
      </c>
      <c r="J7" s="8" t="s">
        <v>134</v>
      </c>
      <c r="K7" s="8" t="s">
        <v>165</v>
      </c>
      <c r="L7" s="8" t="s">
        <v>109</v>
      </c>
      <c r="M7" s="8" t="s">
        <v>164</v>
      </c>
      <c r="N7" s="8">
        <v>2.3E-2</v>
      </c>
      <c r="O7" s="8">
        <f t="shared" ref="O7:O37" si="0">A7*N7</f>
        <v>6.9000000000000006E-2</v>
      </c>
      <c r="P7" s="8" t="s">
        <v>109</v>
      </c>
      <c r="Q7" s="8" t="s">
        <v>257</v>
      </c>
    </row>
    <row r="8" spans="1:17" ht="15" x14ac:dyDescent="0.2">
      <c r="A8" s="23">
        <v>2</v>
      </c>
      <c r="B8" s="8" t="s">
        <v>318</v>
      </c>
      <c r="C8" s="8" t="s">
        <v>53</v>
      </c>
      <c r="D8" s="8" t="s">
        <v>58</v>
      </c>
      <c r="E8" s="8" t="s">
        <v>141</v>
      </c>
      <c r="F8" s="16" t="s">
        <v>55</v>
      </c>
      <c r="G8" s="18">
        <v>0.05</v>
      </c>
      <c r="H8" s="8" t="s">
        <v>133</v>
      </c>
      <c r="I8" s="8" t="s">
        <v>146</v>
      </c>
      <c r="J8" s="8" t="s">
        <v>149</v>
      </c>
      <c r="K8" s="8" t="s">
        <v>150</v>
      </c>
      <c r="L8" s="8" t="s">
        <v>109</v>
      </c>
      <c r="M8" s="8" t="s">
        <v>151</v>
      </c>
      <c r="N8" s="8">
        <v>5.0999999999999997E-2</v>
      </c>
      <c r="O8" s="8">
        <f t="shared" si="0"/>
        <v>0.10199999999999999</v>
      </c>
      <c r="P8" s="8" t="s">
        <v>109</v>
      </c>
      <c r="Q8" s="8" t="s">
        <v>252</v>
      </c>
    </row>
    <row r="9" spans="1:17" ht="15" x14ac:dyDescent="0.2">
      <c r="A9" s="23">
        <v>2</v>
      </c>
      <c r="B9" s="8" t="s">
        <v>319</v>
      </c>
      <c r="C9" s="8" t="s">
        <v>53</v>
      </c>
      <c r="D9" s="8" t="s">
        <v>57</v>
      </c>
      <c r="E9" s="8" t="s">
        <v>138</v>
      </c>
      <c r="F9" s="16" t="s">
        <v>55</v>
      </c>
      <c r="G9" s="17">
        <v>0.1</v>
      </c>
      <c r="H9" s="16" t="s">
        <v>142</v>
      </c>
      <c r="I9" s="16" t="s">
        <v>132</v>
      </c>
      <c r="J9" s="8" t="s">
        <v>137</v>
      </c>
      <c r="K9" s="8" t="s">
        <v>139</v>
      </c>
      <c r="L9" s="8" t="s">
        <v>109</v>
      </c>
      <c r="M9" s="8" t="s">
        <v>140</v>
      </c>
      <c r="N9" s="8">
        <v>3.5999999999999997E-2</v>
      </c>
      <c r="O9" s="8">
        <f t="shared" si="0"/>
        <v>7.1999999999999995E-2</v>
      </c>
      <c r="P9" s="8" t="s">
        <v>109</v>
      </c>
      <c r="Q9" s="8" t="s">
        <v>251</v>
      </c>
    </row>
    <row r="10" spans="1:17" ht="15" x14ac:dyDescent="0.2">
      <c r="A10" s="23">
        <v>1</v>
      </c>
      <c r="B10" s="8" t="s">
        <v>321</v>
      </c>
      <c r="C10" s="8" t="s">
        <v>53</v>
      </c>
      <c r="D10" s="8" t="s">
        <v>59</v>
      </c>
      <c r="E10" s="8" t="s">
        <v>249</v>
      </c>
      <c r="F10" s="16" t="s">
        <v>248</v>
      </c>
      <c r="G10" s="18">
        <v>0.1</v>
      </c>
      <c r="H10" s="8" t="s">
        <v>142</v>
      </c>
      <c r="I10" s="8" t="s">
        <v>144</v>
      </c>
      <c r="J10" s="8" t="s">
        <v>245</v>
      </c>
      <c r="K10" s="5" t="s">
        <v>246</v>
      </c>
      <c r="L10" s="8" t="s">
        <v>109</v>
      </c>
      <c r="M10" s="5" t="s">
        <v>247</v>
      </c>
      <c r="N10" s="8">
        <v>2.08</v>
      </c>
      <c r="O10" s="8">
        <f t="shared" si="0"/>
        <v>2.08</v>
      </c>
      <c r="P10" s="8" t="s">
        <v>109</v>
      </c>
      <c r="Q10" s="8" t="s">
        <v>253</v>
      </c>
    </row>
    <row r="11" spans="1:17" ht="15" x14ac:dyDescent="0.2">
      <c r="A11" s="23">
        <v>2</v>
      </c>
      <c r="B11" s="8" t="s">
        <v>322</v>
      </c>
      <c r="C11" s="8" t="s">
        <v>53</v>
      </c>
      <c r="D11" s="8" t="s">
        <v>61</v>
      </c>
      <c r="E11" s="8" t="s">
        <v>145</v>
      </c>
      <c r="F11" s="16" t="s">
        <v>55</v>
      </c>
      <c r="G11" s="18">
        <v>0.01</v>
      </c>
      <c r="H11" s="8" t="s">
        <v>133</v>
      </c>
      <c r="I11" s="8" t="s">
        <v>146</v>
      </c>
      <c r="J11" s="8" t="s">
        <v>147</v>
      </c>
      <c r="K11" s="8" t="s">
        <v>148</v>
      </c>
      <c r="L11" s="8" t="s">
        <v>109</v>
      </c>
      <c r="M11" s="8" t="s">
        <v>153</v>
      </c>
      <c r="N11" s="8">
        <v>2.5000000000000001E-2</v>
      </c>
      <c r="O11" s="8">
        <f t="shared" si="0"/>
        <v>0.05</v>
      </c>
      <c r="P11" s="8" t="s">
        <v>109</v>
      </c>
      <c r="Q11" s="8" t="s">
        <v>254</v>
      </c>
    </row>
    <row r="12" spans="1:17" ht="15" x14ac:dyDescent="0.2">
      <c r="A12" s="23">
        <v>4</v>
      </c>
      <c r="B12" s="8" t="s">
        <v>323</v>
      </c>
      <c r="C12" s="8" t="s">
        <v>53</v>
      </c>
      <c r="D12" s="8" t="s">
        <v>67</v>
      </c>
      <c r="E12" s="8" t="s">
        <v>161</v>
      </c>
      <c r="F12" s="16" t="s">
        <v>55</v>
      </c>
      <c r="G12" s="18">
        <v>0.05</v>
      </c>
      <c r="H12" s="8" t="s">
        <v>133</v>
      </c>
      <c r="I12" s="8" t="s">
        <v>146</v>
      </c>
      <c r="J12" s="8" t="s">
        <v>149</v>
      </c>
      <c r="K12" s="8" t="s">
        <v>162</v>
      </c>
      <c r="L12" s="8" t="s">
        <v>109</v>
      </c>
      <c r="M12" s="8" t="s">
        <v>163</v>
      </c>
      <c r="N12" s="8">
        <v>2.7E-2</v>
      </c>
      <c r="O12" s="8">
        <f t="shared" si="0"/>
        <v>0.108</v>
      </c>
      <c r="P12" s="8" t="s">
        <v>109</v>
      </c>
      <c r="Q12" s="8" t="s">
        <v>256</v>
      </c>
    </row>
    <row r="13" spans="1:17" ht="15" x14ac:dyDescent="0.2">
      <c r="A13" s="23">
        <v>4</v>
      </c>
      <c r="B13" s="8" t="s">
        <v>324</v>
      </c>
      <c r="C13" s="8" t="s">
        <v>53</v>
      </c>
      <c r="D13" s="8" t="s">
        <v>326</v>
      </c>
      <c r="E13" s="8" t="s">
        <v>353</v>
      </c>
      <c r="F13" s="8" t="s">
        <v>55</v>
      </c>
      <c r="G13" s="18">
        <v>0.05</v>
      </c>
      <c r="H13" s="8" t="s">
        <v>133</v>
      </c>
      <c r="I13" s="8" t="s">
        <v>146</v>
      </c>
      <c r="J13" s="8" t="s">
        <v>149</v>
      </c>
      <c r="K13" s="8" t="s">
        <v>354</v>
      </c>
      <c r="L13" s="8" t="s">
        <v>109</v>
      </c>
      <c r="M13" s="5" t="s">
        <v>355</v>
      </c>
      <c r="N13" s="8">
        <v>3.2000000000000001E-2</v>
      </c>
      <c r="O13" s="8">
        <f t="shared" si="0"/>
        <v>0.128</v>
      </c>
      <c r="P13" s="8"/>
      <c r="Q13" s="8" t="s">
        <v>358</v>
      </c>
    </row>
    <row r="14" spans="1:17" ht="15" x14ac:dyDescent="0.2">
      <c r="A14" s="23">
        <v>2</v>
      </c>
      <c r="B14" s="8" t="s">
        <v>325</v>
      </c>
      <c r="C14" s="8" t="s">
        <v>53</v>
      </c>
      <c r="D14" s="8" t="s">
        <v>157</v>
      </c>
      <c r="E14" s="8" t="s">
        <v>159</v>
      </c>
      <c r="F14" s="16" t="s">
        <v>55</v>
      </c>
      <c r="G14" s="18">
        <v>0.05</v>
      </c>
      <c r="H14" s="8" t="s">
        <v>133</v>
      </c>
      <c r="I14" s="8" t="s">
        <v>146</v>
      </c>
      <c r="J14" s="8" t="s">
        <v>149</v>
      </c>
      <c r="K14" s="8" t="s">
        <v>160</v>
      </c>
      <c r="L14" s="8" t="s">
        <v>109</v>
      </c>
      <c r="M14" s="8" t="s">
        <v>158</v>
      </c>
      <c r="N14" s="8">
        <v>0.04</v>
      </c>
      <c r="O14" s="8">
        <f t="shared" si="0"/>
        <v>0.08</v>
      </c>
      <c r="P14" s="8" t="s">
        <v>109</v>
      </c>
      <c r="Q14" s="8" t="s">
        <v>255</v>
      </c>
    </row>
    <row r="15" spans="1:17" ht="15" x14ac:dyDescent="0.2">
      <c r="A15" s="23">
        <v>2</v>
      </c>
      <c r="B15" s="8" t="s">
        <v>101</v>
      </c>
      <c r="C15" s="6" t="s">
        <v>102</v>
      </c>
      <c r="D15" s="8" t="s">
        <v>116</v>
      </c>
      <c r="E15" s="8" t="s">
        <v>117</v>
      </c>
      <c r="F15" s="6" t="s">
        <v>105</v>
      </c>
      <c r="G15" s="6" t="s">
        <v>96</v>
      </c>
      <c r="H15" s="8" t="s">
        <v>115</v>
      </c>
      <c r="I15" s="8" t="s">
        <v>118</v>
      </c>
      <c r="J15" s="6" t="s">
        <v>119</v>
      </c>
      <c r="K15" s="8" t="s">
        <v>121</v>
      </c>
      <c r="L15" s="6" t="s">
        <v>9</v>
      </c>
      <c r="M15" s="8" t="s">
        <v>120</v>
      </c>
      <c r="N15" s="7">
        <v>0.40200000000000002</v>
      </c>
      <c r="O15" s="8">
        <f t="shared" si="0"/>
        <v>0.80400000000000005</v>
      </c>
      <c r="P15" s="8" t="s">
        <v>112</v>
      </c>
      <c r="Q15" s="8" t="s">
        <v>283</v>
      </c>
    </row>
    <row r="16" spans="1:17" ht="15" x14ac:dyDescent="0.2">
      <c r="A16" s="23">
        <v>2</v>
      </c>
      <c r="B16" s="8" t="s">
        <v>114</v>
      </c>
      <c r="C16" s="6" t="s">
        <v>102</v>
      </c>
      <c r="D16" s="8" t="s">
        <v>103</v>
      </c>
      <c r="E16" s="8" t="s">
        <v>104</v>
      </c>
      <c r="F16" s="6" t="s">
        <v>105</v>
      </c>
      <c r="G16" s="6" t="s">
        <v>96</v>
      </c>
      <c r="H16" s="6" t="s">
        <v>106</v>
      </c>
      <c r="I16" s="6" t="s">
        <v>107</v>
      </c>
      <c r="J16" s="6" t="s">
        <v>110</v>
      </c>
      <c r="K16" s="8" t="s">
        <v>108</v>
      </c>
      <c r="L16" s="6" t="s">
        <v>109</v>
      </c>
      <c r="M16" s="8" t="s">
        <v>111</v>
      </c>
      <c r="N16" s="7">
        <v>0.04</v>
      </c>
      <c r="O16" s="8">
        <f t="shared" si="0"/>
        <v>0.08</v>
      </c>
      <c r="P16" s="8" t="s">
        <v>112</v>
      </c>
      <c r="Q16" s="8" t="s">
        <v>282</v>
      </c>
    </row>
    <row r="17" spans="1:17" ht="15" x14ac:dyDescent="0.2">
      <c r="A17" s="23">
        <v>1</v>
      </c>
      <c r="B17" s="8" t="s">
        <v>128</v>
      </c>
      <c r="C17" s="6" t="s">
        <v>127</v>
      </c>
      <c r="D17" s="8" t="s">
        <v>96</v>
      </c>
      <c r="E17" s="8" t="s">
        <v>301</v>
      </c>
      <c r="F17" s="6" t="s">
        <v>105</v>
      </c>
      <c r="G17" s="6" t="s">
        <v>96</v>
      </c>
      <c r="H17" s="6" t="s">
        <v>302</v>
      </c>
      <c r="I17" s="6" t="s">
        <v>96</v>
      </c>
      <c r="J17" s="8" t="s">
        <v>303</v>
      </c>
      <c r="K17" s="16" t="s">
        <v>299</v>
      </c>
      <c r="L17" s="6" t="s">
        <v>109</v>
      </c>
      <c r="M17" s="8" t="s">
        <v>300</v>
      </c>
      <c r="N17" s="7">
        <v>0.61</v>
      </c>
      <c r="O17" s="8">
        <f t="shared" si="0"/>
        <v>0.61</v>
      </c>
      <c r="P17" s="8" t="s">
        <v>109</v>
      </c>
      <c r="Q17" s="8" t="s">
        <v>312</v>
      </c>
    </row>
    <row r="18" spans="1:17" ht="15" x14ac:dyDescent="0.2">
      <c r="A18" s="23">
        <v>1</v>
      </c>
      <c r="B18" s="8" t="s">
        <v>125</v>
      </c>
      <c r="C18" s="6" t="s">
        <v>127</v>
      </c>
      <c r="D18" s="8" t="s">
        <v>96</v>
      </c>
      <c r="E18" s="8" t="s">
        <v>221</v>
      </c>
      <c r="F18" s="6" t="s">
        <v>105</v>
      </c>
      <c r="G18" s="6" t="s">
        <v>96</v>
      </c>
      <c r="H18" s="6" t="s">
        <v>152</v>
      </c>
      <c r="I18" s="6" t="s">
        <v>96</v>
      </c>
      <c r="J18" s="8" t="s">
        <v>222</v>
      </c>
      <c r="K18" s="8" t="s">
        <v>223</v>
      </c>
      <c r="L18" s="6" t="s">
        <v>109</v>
      </c>
      <c r="M18" s="8" t="s">
        <v>224</v>
      </c>
      <c r="N18" s="7">
        <v>0.79</v>
      </c>
      <c r="O18" s="8">
        <f t="shared" si="0"/>
        <v>0.79</v>
      </c>
      <c r="P18" s="8" t="s">
        <v>109</v>
      </c>
      <c r="Q18" s="8" t="s">
        <v>285</v>
      </c>
    </row>
    <row r="19" spans="1:17" ht="15" x14ac:dyDescent="0.2">
      <c r="A19" s="23">
        <v>1</v>
      </c>
      <c r="B19" s="8" t="s">
        <v>126</v>
      </c>
      <c r="C19" s="6" t="s">
        <v>127</v>
      </c>
      <c r="D19" s="8" t="s">
        <v>240</v>
      </c>
      <c r="E19" s="8" t="s">
        <v>230</v>
      </c>
      <c r="F19" s="6" t="s">
        <v>105</v>
      </c>
      <c r="G19" s="6" t="s">
        <v>96</v>
      </c>
      <c r="H19" s="8" t="s">
        <v>96</v>
      </c>
      <c r="I19" s="6" t="s">
        <v>96</v>
      </c>
      <c r="J19" s="8" t="s">
        <v>231</v>
      </c>
      <c r="K19" s="8" t="s">
        <v>232</v>
      </c>
      <c r="L19" s="6" t="s">
        <v>40</v>
      </c>
      <c r="M19" s="8" t="s">
        <v>233</v>
      </c>
      <c r="N19" s="7">
        <v>0.1</v>
      </c>
      <c r="O19" s="8">
        <f t="shared" si="0"/>
        <v>0.1</v>
      </c>
      <c r="P19" s="8" t="s">
        <v>143</v>
      </c>
      <c r="Q19" s="8" t="s">
        <v>284</v>
      </c>
    </row>
    <row r="20" spans="1:17" ht="15" x14ac:dyDescent="0.2">
      <c r="A20" s="23">
        <v>16</v>
      </c>
      <c r="B20" s="8" t="s">
        <v>327</v>
      </c>
      <c r="C20" s="6" t="s">
        <v>268</v>
      </c>
      <c r="D20" s="8" t="s">
        <v>96</v>
      </c>
      <c r="E20" s="8" t="s">
        <v>272</v>
      </c>
      <c r="F20" s="6" t="s">
        <v>273</v>
      </c>
      <c r="G20" s="6" t="s">
        <v>96</v>
      </c>
      <c r="H20" s="8" t="s">
        <v>96</v>
      </c>
      <c r="I20" s="6" t="s">
        <v>271</v>
      </c>
      <c r="J20" s="8" t="s">
        <v>110</v>
      </c>
      <c r="K20" s="8" t="s">
        <v>269</v>
      </c>
      <c r="L20" s="6" t="s">
        <v>109</v>
      </c>
      <c r="M20" s="8" t="s">
        <v>294</v>
      </c>
      <c r="N20" s="7">
        <v>8.7999999999999995E-2</v>
      </c>
      <c r="O20" s="8">
        <f t="shared" si="0"/>
        <v>1.4079999999999999</v>
      </c>
      <c r="P20" s="8" t="s">
        <v>109</v>
      </c>
      <c r="Q20" s="8" t="s">
        <v>270</v>
      </c>
    </row>
    <row r="21" spans="1:17" ht="15" x14ac:dyDescent="0.2">
      <c r="A21" s="23">
        <v>2</v>
      </c>
      <c r="B21" s="8" t="s">
        <v>328</v>
      </c>
      <c r="C21" s="8" t="s">
        <v>77</v>
      </c>
      <c r="D21" s="8" t="s">
        <v>298</v>
      </c>
      <c r="E21" s="8" t="s">
        <v>316</v>
      </c>
      <c r="F21" s="16" t="s">
        <v>55</v>
      </c>
      <c r="G21" s="18">
        <v>0.01</v>
      </c>
      <c r="H21" s="8" t="s">
        <v>186</v>
      </c>
      <c r="I21" s="8" t="s">
        <v>171</v>
      </c>
      <c r="J21" s="8" t="s">
        <v>184</v>
      </c>
      <c r="K21" s="8" t="s">
        <v>313</v>
      </c>
      <c r="L21" s="8" t="s">
        <v>109</v>
      </c>
      <c r="M21" s="8" t="s">
        <v>314</v>
      </c>
      <c r="N21" s="8">
        <v>3.1E-2</v>
      </c>
      <c r="O21" s="8">
        <f t="shared" si="0"/>
        <v>6.2E-2</v>
      </c>
      <c r="P21" s="8" t="s">
        <v>109</v>
      </c>
      <c r="Q21" s="8" t="s">
        <v>315</v>
      </c>
    </row>
    <row r="22" spans="1:17" ht="15" x14ac:dyDescent="0.2">
      <c r="A22" s="23">
        <v>1</v>
      </c>
      <c r="B22" s="8" t="s">
        <v>329</v>
      </c>
      <c r="C22" s="8" t="s">
        <v>77</v>
      </c>
      <c r="D22" s="8" t="s">
        <v>86</v>
      </c>
      <c r="E22" s="8" t="s">
        <v>199</v>
      </c>
      <c r="F22" s="16" t="s">
        <v>55</v>
      </c>
      <c r="G22" s="19">
        <v>5.0000000000000001E-3</v>
      </c>
      <c r="H22" s="8" t="s">
        <v>186</v>
      </c>
      <c r="I22" s="8" t="s">
        <v>171</v>
      </c>
      <c r="J22" s="8" t="s">
        <v>197</v>
      </c>
      <c r="K22" s="8" t="s">
        <v>198</v>
      </c>
      <c r="L22" s="8" t="s">
        <v>109</v>
      </c>
      <c r="M22" s="8" t="s">
        <v>196</v>
      </c>
      <c r="N22" s="8">
        <v>5.5E-2</v>
      </c>
      <c r="O22" s="8">
        <f t="shared" si="0"/>
        <v>5.5E-2</v>
      </c>
      <c r="P22" s="8" t="s">
        <v>109</v>
      </c>
      <c r="Q22" s="8" t="s">
        <v>263</v>
      </c>
    </row>
    <row r="23" spans="1:17" ht="15" x14ac:dyDescent="0.2">
      <c r="A23" s="23">
        <v>1</v>
      </c>
      <c r="B23" s="8" t="s">
        <v>330</v>
      </c>
      <c r="C23" s="8" t="s">
        <v>77</v>
      </c>
      <c r="D23" s="8" t="s">
        <v>88</v>
      </c>
      <c r="E23" s="8" t="s">
        <v>201</v>
      </c>
      <c r="F23" s="16" t="s">
        <v>55</v>
      </c>
      <c r="G23" s="18">
        <v>0.01</v>
      </c>
      <c r="H23" s="8" t="s">
        <v>186</v>
      </c>
      <c r="I23" s="8" t="s">
        <v>182</v>
      </c>
      <c r="J23" s="8" t="s">
        <v>184</v>
      </c>
      <c r="K23" s="8" t="s">
        <v>202</v>
      </c>
      <c r="L23" s="8" t="s">
        <v>109</v>
      </c>
      <c r="M23" s="8" t="s">
        <v>200</v>
      </c>
      <c r="N23" s="8">
        <v>0.06</v>
      </c>
      <c r="O23" s="8">
        <f t="shared" si="0"/>
        <v>0.06</v>
      </c>
      <c r="P23" s="8" t="s">
        <v>109</v>
      </c>
      <c r="Q23" s="8" t="s">
        <v>264</v>
      </c>
    </row>
    <row r="24" spans="1:17" ht="15" x14ac:dyDescent="0.2">
      <c r="A24" s="23">
        <v>32</v>
      </c>
      <c r="B24" s="8" t="s">
        <v>331</v>
      </c>
      <c r="C24" s="8" t="s">
        <v>77</v>
      </c>
      <c r="D24" s="8" t="s">
        <v>74</v>
      </c>
      <c r="E24" s="8" t="s">
        <v>173</v>
      </c>
      <c r="F24" s="16" t="s">
        <v>55</v>
      </c>
      <c r="G24" s="18">
        <v>0.01</v>
      </c>
      <c r="H24" s="8" t="s">
        <v>172</v>
      </c>
      <c r="I24" s="8" t="s">
        <v>171</v>
      </c>
      <c r="J24" s="8" t="s">
        <v>170</v>
      </c>
      <c r="K24" s="8" t="s">
        <v>168</v>
      </c>
      <c r="L24" s="8" t="s">
        <v>109</v>
      </c>
      <c r="M24" s="8" t="s">
        <v>169</v>
      </c>
      <c r="N24" s="8">
        <v>8.9999999999999993E-3</v>
      </c>
      <c r="O24" s="8">
        <f t="shared" si="0"/>
        <v>0.28799999999999998</v>
      </c>
      <c r="P24" s="8" t="s">
        <v>109</v>
      </c>
      <c r="Q24" s="8" t="s">
        <v>258</v>
      </c>
    </row>
    <row r="25" spans="1:17" ht="15" x14ac:dyDescent="0.2">
      <c r="A25" s="23">
        <v>1</v>
      </c>
      <c r="B25" s="8" t="s">
        <v>332</v>
      </c>
      <c r="C25" s="8" t="s">
        <v>77</v>
      </c>
      <c r="D25" s="8" t="s">
        <v>90</v>
      </c>
      <c r="E25" s="8" t="s">
        <v>205</v>
      </c>
      <c r="F25" s="16" t="s">
        <v>55</v>
      </c>
      <c r="G25" s="18">
        <v>0.05</v>
      </c>
      <c r="H25" s="8" t="s">
        <v>186</v>
      </c>
      <c r="I25" s="8" t="s">
        <v>182</v>
      </c>
      <c r="J25" s="8" t="s">
        <v>184</v>
      </c>
      <c r="K25" s="8" t="s">
        <v>204</v>
      </c>
      <c r="L25" s="8" t="s">
        <v>109</v>
      </c>
      <c r="M25" s="8" t="s">
        <v>203</v>
      </c>
      <c r="N25" s="8">
        <v>0.01</v>
      </c>
      <c r="O25" s="8">
        <f t="shared" si="0"/>
        <v>0.01</v>
      </c>
      <c r="P25" s="8" t="s">
        <v>109</v>
      </c>
      <c r="Q25" s="8" t="s">
        <v>265</v>
      </c>
    </row>
    <row r="26" spans="1:17" ht="15" x14ac:dyDescent="0.2">
      <c r="A26" s="23">
        <v>20</v>
      </c>
      <c r="B26" s="8" t="s">
        <v>333</v>
      </c>
      <c r="C26" s="8" t="s">
        <v>77</v>
      </c>
      <c r="D26" s="8" t="s">
        <v>76</v>
      </c>
      <c r="E26" s="8" t="s">
        <v>181</v>
      </c>
      <c r="F26" s="16" t="s">
        <v>55</v>
      </c>
      <c r="G26" s="19">
        <v>5.0000000000000001E-3</v>
      </c>
      <c r="H26" s="8" t="s">
        <v>180</v>
      </c>
      <c r="I26" s="8" t="s">
        <v>179</v>
      </c>
      <c r="J26" s="8" t="s">
        <v>170</v>
      </c>
      <c r="K26" s="8" t="s">
        <v>178</v>
      </c>
      <c r="L26" s="8" t="s">
        <v>109</v>
      </c>
      <c r="M26" s="8" t="s">
        <v>177</v>
      </c>
      <c r="N26" s="8">
        <v>0.02</v>
      </c>
      <c r="O26" s="8">
        <f t="shared" si="0"/>
        <v>0.4</v>
      </c>
      <c r="P26" s="8" t="s">
        <v>109</v>
      </c>
      <c r="Q26" s="8" t="s">
        <v>259</v>
      </c>
    </row>
    <row r="27" spans="1:17" ht="15" x14ac:dyDescent="0.2">
      <c r="A27" s="23">
        <v>6</v>
      </c>
      <c r="B27" s="6" t="s">
        <v>334</v>
      </c>
      <c r="C27" s="8" t="s">
        <v>77</v>
      </c>
      <c r="D27" s="8" t="s">
        <v>75</v>
      </c>
      <c r="E27" s="8" t="s">
        <v>175</v>
      </c>
      <c r="F27" s="16" t="s">
        <v>55</v>
      </c>
      <c r="G27" s="18">
        <v>0.01</v>
      </c>
      <c r="H27" s="8" t="s">
        <v>172</v>
      </c>
      <c r="I27" s="8" t="s">
        <v>171</v>
      </c>
      <c r="J27" s="8" t="s">
        <v>170</v>
      </c>
      <c r="K27" s="8" t="s">
        <v>176</v>
      </c>
      <c r="L27" s="8" t="s">
        <v>109</v>
      </c>
      <c r="M27" s="8" t="s">
        <v>174</v>
      </c>
      <c r="N27" s="8">
        <v>1.0999999999999999E-2</v>
      </c>
      <c r="O27" s="8">
        <f t="shared" si="0"/>
        <v>6.6000000000000003E-2</v>
      </c>
      <c r="P27" s="8" t="s">
        <v>109</v>
      </c>
      <c r="Q27" s="8" t="s">
        <v>258</v>
      </c>
    </row>
    <row r="28" spans="1:17" ht="15" x14ac:dyDescent="0.2">
      <c r="A28" s="23">
        <v>1</v>
      </c>
      <c r="B28" s="6" t="s">
        <v>335</v>
      </c>
      <c r="C28" s="8" t="s">
        <v>77</v>
      </c>
      <c r="D28" s="8" t="s">
        <v>336</v>
      </c>
      <c r="E28" s="8" t="s">
        <v>359</v>
      </c>
      <c r="F28" s="8" t="s">
        <v>55</v>
      </c>
      <c r="G28" s="8" t="s">
        <v>96</v>
      </c>
      <c r="H28" s="8" t="s">
        <v>360</v>
      </c>
      <c r="I28" s="8" t="s">
        <v>182</v>
      </c>
      <c r="J28" s="8" t="s">
        <v>361</v>
      </c>
      <c r="K28" s="8" t="s">
        <v>362</v>
      </c>
      <c r="L28" s="8" t="s">
        <v>109</v>
      </c>
      <c r="M28" s="5" t="s">
        <v>356</v>
      </c>
      <c r="N28" s="8">
        <v>2.7E-2</v>
      </c>
      <c r="O28" s="8">
        <f t="shared" si="0"/>
        <v>2.7E-2</v>
      </c>
      <c r="P28" s="8" t="s">
        <v>109</v>
      </c>
      <c r="Q28" s="8" t="s">
        <v>357</v>
      </c>
    </row>
    <row r="29" spans="1:17" ht="15" x14ac:dyDescent="0.2">
      <c r="A29" s="23">
        <v>2</v>
      </c>
      <c r="B29" s="6" t="s">
        <v>337</v>
      </c>
      <c r="C29" s="8" t="s">
        <v>77</v>
      </c>
      <c r="D29" s="8" t="s">
        <v>338</v>
      </c>
      <c r="E29" s="8" t="s">
        <v>366</v>
      </c>
      <c r="F29" s="8" t="s">
        <v>55</v>
      </c>
      <c r="G29" s="18">
        <v>0.01</v>
      </c>
      <c r="H29" s="8" t="s">
        <v>172</v>
      </c>
      <c r="I29" s="8" t="s">
        <v>182</v>
      </c>
      <c r="J29" s="8" t="s">
        <v>170</v>
      </c>
      <c r="K29" s="5" t="s">
        <v>365</v>
      </c>
      <c r="L29" s="8" t="s">
        <v>109</v>
      </c>
      <c r="M29" s="8" t="s">
        <v>363</v>
      </c>
      <c r="N29" s="8">
        <v>1.0999999999999999E-2</v>
      </c>
      <c r="O29" s="8">
        <f t="shared" si="0"/>
        <v>2.1999999999999999E-2</v>
      </c>
      <c r="P29" s="8" t="s">
        <v>109</v>
      </c>
      <c r="Q29" s="8" t="s">
        <v>364</v>
      </c>
    </row>
    <row r="30" spans="1:17" ht="15" x14ac:dyDescent="0.2">
      <c r="A30" s="23">
        <v>2</v>
      </c>
      <c r="B30" s="6" t="s">
        <v>339</v>
      </c>
      <c r="C30" s="8" t="s">
        <v>77</v>
      </c>
      <c r="D30" s="8" t="s">
        <v>340</v>
      </c>
      <c r="E30" s="8" t="s">
        <v>369</v>
      </c>
      <c r="F30" s="8" t="s">
        <v>55</v>
      </c>
      <c r="G30" s="19">
        <v>1E-3</v>
      </c>
      <c r="H30" s="8" t="s">
        <v>186</v>
      </c>
      <c r="I30" s="8" t="s">
        <v>171</v>
      </c>
      <c r="J30" s="8" t="s">
        <v>184</v>
      </c>
      <c r="K30" s="5" t="s">
        <v>368</v>
      </c>
      <c r="L30" s="8" t="s">
        <v>109</v>
      </c>
      <c r="M30" s="5" t="s">
        <v>367</v>
      </c>
      <c r="N30" s="8">
        <v>4.9000000000000002E-2</v>
      </c>
      <c r="O30" s="8">
        <f t="shared" si="0"/>
        <v>9.8000000000000004E-2</v>
      </c>
      <c r="P30" s="8" t="s">
        <v>109</v>
      </c>
      <c r="Q30" s="8" t="s">
        <v>315</v>
      </c>
    </row>
    <row r="31" spans="1:17" ht="15" x14ac:dyDescent="0.2">
      <c r="A31" s="23">
        <v>2</v>
      </c>
      <c r="B31" s="6" t="s">
        <v>341</v>
      </c>
      <c r="C31" s="8" t="s">
        <v>77</v>
      </c>
      <c r="D31" s="8" t="s">
        <v>342</v>
      </c>
      <c r="E31" s="8" t="s">
        <v>373</v>
      </c>
      <c r="F31" s="16" t="s">
        <v>55</v>
      </c>
      <c r="G31" s="18">
        <v>0.05</v>
      </c>
      <c r="H31" s="8" t="s">
        <v>186</v>
      </c>
      <c r="I31" s="8" t="s">
        <v>182</v>
      </c>
      <c r="J31" s="8" t="s">
        <v>170</v>
      </c>
      <c r="K31" s="5" t="s">
        <v>372</v>
      </c>
      <c r="L31" s="8" t="s">
        <v>109</v>
      </c>
      <c r="M31" s="5" t="s">
        <v>370</v>
      </c>
      <c r="N31" s="8">
        <v>7.0000000000000001E-3</v>
      </c>
      <c r="O31" s="8">
        <f t="shared" si="0"/>
        <v>1.4E-2</v>
      </c>
      <c r="P31" s="8" t="s">
        <v>109</v>
      </c>
      <c r="Q31" s="8" t="s">
        <v>371</v>
      </c>
    </row>
    <row r="32" spans="1:17" ht="15" x14ac:dyDescent="0.2">
      <c r="A32" s="23">
        <v>4</v>
      </c>
      <c r="B32" s="6" t="s">
        <v>343</v>
      </c>
      <c r="C32" s="8" t="s">
        <v>77</v>
      </c>
      <c r="D32" s="8" t="s">
        <v>78</v>
      </c>
      <c r="E32" s="8" t="s">
        <v>187</v>
      </c>
      <c r="F32" s="16" t="s">
        <v>55</v>
      </c>
      <c r="G32" s="19">
        <v>5.0000000000000001E-3</v>
      </c>
      <c r="H32" s="8" t="s">
        <v>186</v>
      </c>
      <c r="I32" s="8" t="s">
        <v>182</v>
      </c>
      <c r="J32" s="8" t="s">
        <v>184</v>
      </c>
      <c r="K32" s="8" t="s">
        <v>185</v>
      </c>
      <c r="L32" s="8" t="s">
        <v>109</v>
      </c>
      <c r="M32" s="8" t="s">
        <v>183</v>
      </c>
      <c r="N32" s="8">
        <v>1.4999999999999999E-2</v>
      </c>
      <c r="O32" s="8">
        <f t="shared" si="0"/>
        <v>0.06</v>
      </c>
      <c r="P32" s="8" t="s">
        <v>109</v>
      </c>
      <c r="Q32" s="8" t="s">
        <v>260</v>
      </c>
    </row>
    <row r="33" spans="1:17" ht="15" x14ac:dyDescent="0.2">
      <c r="A33" s="23">
        <v>2</v>
      </c>
      <c r="B33" s="6" t="s">
        <v>344</v>
      </c>
      <c r="C33" s="8" t="s">
        <v>79</v>
      </c>
      <c r="D33" s="8" t="s">
        <v>80</v>
      </c>
      <c r="E33" s="8" t="s">
        <v>190</v>
      </c>
      <c r="F33" s="16" t="s">
        <v>55</v>
      </c>
      <c r="G33" s="18">
        <v>0.01</v>
      </c>
      <c r="H33" s="8" t="s">
        <v>186</v>
      </c>
      <c r="I33" s="8" t="s">
        <v>182</v>
      </c>
      <c r="J33" s="8" t="s">
        <v>184</v>
      </c>
      <c r="K33" s="8" t="s">
        <v>189</v>
      </c>
      <c r="L33" s="8" t="s">
        <v>109</v>
      </c>
      <c r="M33" s="8" t="s">
        <v>188</v>
      </c>
      <c r="N33" s="8">
        <v>1.2999999999999999E-2</v>
      </c>
      <c r="O33" s="8">
        <f t="shared" si="0"/>
        <v>2.5999999999999999E-2</v>
      </c>
      <c r="P33" s="8" t="s">
        <v>109</v>
      </c>
      <c r="Q33" s="8" t="s">
        <v>261</v>
      </c>
    </row>
    <row r="34" spans="1:17" ht="15" x14ac:dyDescent="0.2">
      <c r="A34" s="23">
        <v>8</v>
      </c>
      <c r="B34" s="6" t="s">
        <v>348</v>
      </c>
      <c r="C34" s="8" t="s">
        <v>92</v>
      </c>
      <c r="D34" s="8" t="s">
        <v>74</v>
      </c>
      <c r="E34" s="8" t="s">
        <v>207</v>
      </c>
      <c r="F34" s="16" t="s">
        <v>105</v>
      </c>
      <c r="G34" s="8" t="s">
        <v>96</v>
      </c>
      <c r="H34" s="8" t="s">
        <v>208</v>
      </c>
      <c r="I34" s="8" t="s">
        <v>209</v>
      </c>
      <c r="J34" s="8" t="s">
        <v>130</v>
      </c>
      <c r="K34" s="8" t="s">
        <v>129</v>
      </c>
      <c r="L34" s="8" t="s">
        <v>109</v>
      </c>
      <c r="M34" s="8" t="s">
        <v>206</v>
      </c>
      <c r="N34" s="8">
        <v>1.0169999999999999</v>
      </c>
      <c r="O34" s="8">
        <f t="shared" si="0"/>
        <v>8.1359999999999992</v>
      </c>
      <c r="P34" s="8" t="s">
        <v>109</v>
      </c>
      <c r="Q34" s="8" t="s">
        <v>266</v>
      </c>
    </row>
    <row r="35" spans="1:17" ht="15" x14ac:dyDescent="0.2">
      <c r="A35" s="23">
        <v>2</v>
      </c>
      <c r="B35" s="6" t="s">
        <v>352</v>
      </c>
      <c r="C35" s="8" t="s">
        <v>77</v>
      </c>
      <c r="D35" s="8" t="s">
        <v>123</v>
      </c>
      <c r="E35" s="8" t="s">
        <v>212</v>
      </c>
      <c r="F35" s="8" t="s">
        <v>55</v>
      </c>
      <c r="G35" s="18">
        <v>0.01</v>
      </c>
      <c r="H35" s="8" t="s">
        <v>172</v>
      </c>
      <c r="I35" s="8" t="s">
        <v>171</v>
      </c>
      <c r="J35" s="8" t="s">
        <v>170</v>
      </c>
      <c r="K35" s="8" t="s">
        <v>211</v>
      </c>
      <c r="L35" s="8" t="s">
        <v>109</v>
      </c>
      <c r="M35" s="8" t="s">
        <v>210</v>
      </c>
      <c r="N35" s="8">
        <v>0.01</v>
      </c>
      <c r="O35" s="8">
        <f t="shared" si="0"/>
        <v>0.02</v>
      </c>
      <c r="P35" s="8" t="s">
        <v>109</v>
      </c>
      <c r="Q35" s="8" t="s">
        <v>258</v>
      </c>
    </row>
    <row r="36" spans="1:17" ht="15" x14ac:dyDescent="0.2">
      <c r="A36" s="23">
        <v>2</v>
      </c>
      <c r="B36" s="6" t="s">
        <v>345</v>
      </c>
      <c r="C36" s="8" t="s">
        <v>77</v>
      </c>
      <c r="D36" s="16" t="s">
        <v>124</v>
      </c>
      <c r="E36" s="8" t="s">
        <v>192</v>
      </c>
      <c r="F36" s="16" t="s">
        <v>55</v>
      </c>
      <c r="G36" s="18">
        <v>0.05</v>
      </c>
      <c r="H36" s="8" t="s">
        <v>193</v>
      </c>
      <c r="I36" s="8" t="s">
        <v>194</v>
      </c>
      <c r="J36" s="8" t="s">
        <v>197</v>
      </c>
      <c r="K36" s="8" t="s">
        <v>195</v>
      </c>
      <c r="L36" s="8" t="s">
        <v>109</v>
      </c>
      <c r="M36" s="8" t="s">
        <v>191</v>
      </c>
      <c r="N36" s="8">
        <v>2.5999999999999999E-2</v>
      </c>
      <c r="O36" s="8">
        <f t="shared" si="0"/>
        <v>5.1999999999999998E-2</v>
      </c>
      <c r="P36" s="8" t="s">
        <v>109</v>
      </c>
      <c r="Q36" s="8" t="s">
        <v>262</v>
      </c>
    </row>
    <row r="37" spans="1:17" ht="15" x14ac:dyDescent="0.2">
      <c r="A37" s="23">
        <v>1</v>
      </c>
      <c r="B37" s="6" t="s">
        <v>347</v>
      </c>
      <c r="C37" s="6" t="s">
        <v>287</v>
      </c>
      <c r="D37" s="8" t="s">
        <v>96</v>
      </c>
      <c r="E37" s="8" t="s">
        <v>306</v>
      </c>
      <c r="F37" s="6" t="s">
        <v>105</v>
      </c>
      <c r="G37" s="6" t="s">
        <v>96</v>
      </c>
      <c r="H37" s="6" t="s">
        <v>307</v>
      </c>
      <c r="I37" s="6" t="s">
        <v>96</v>
      </c>
      <c r="J37" s="8" t="s">
        <v>308</v>
      </c>
      <c r="K37" s="8" t="s">
        <v>309</v>
      </c>
      <c r="L37" s="6" t="s">
        <v>109</v>
      </c>
      <c r="M37" s="8" t="s">
        <v>310</v>
      </c>
      <c r="N37" s="7">
        <v>0.98</v>
      </c>
      <c r="O37" s="8">
        <f t="shared" si="0"/>
        <v>0.98</v>
      </c>
      <c r="P37" s="8" t="s">
        <v>109</v>
      </c>
      <c r="Q37" s="8" t="s">
        <v>311</v>
      </c>
    </row>
    <row r="38" spans="1:17" ht="15" x14ac:dyDescent="0.2">
      <c r="A38" s="23">
        <v>7</v>
      </c>
      <c r="B38" s="6" t="s">
        <v>346</v>
      </c>
      <c r="C38" s="6" t="s">
        <v>287</v>
      </c>
      <c r="D38" s="8" t="s">
        <v>96</v>
      </c>
      <c r="E38" s="8" t="s">
        <v>289</v>
      </c>
      <c r="F38" s="6" t="s">
        <v>105</v>
      </c>
      <c r="G38" s="6" t="s">
        <v>96</v>
      </c>
      <c r="H38" s="8" t="s">
        <v>290</v>
      </c>
      <c r="I38" s="6" t="s">
        <v>96</v>
      </c>
      <c r="J38" s="8" t="s">
        <v>292</v>
      </c>
      <c r="K38" s="8" t="s">
        <v>291</v>
      </c>
      <c r="L38" s="6" t="s">
        <v>9</v>
      </c>
      <c r="M38" s="8" t="s">
        <v>293</v>
      </c>
      <c r="N38" s="7">
        <v>0</v>
      </c>
      <c r="O38" s="7">
        <v>0</v>
      </c>
      <c r="P38" s="8" t="s">
        <v>143</v>
      </c>
      <c r="Q38" s="8" t="s">
        <v>288</v>
      </c>
    </row>
    <row r="39" spans="1:17" ht="15" x14ac:dyDescent="0.2">
      <c r="A39" s="23">
        <v>1</v>
      </c>
      <c r="B39" s="6" t="s">
        <v>46</v>
      </c>
      <c r="C39" s="6" t="s">
        <v>10</v>
      </c>
      <c r="D39" s="8" t="s">
        <v>96</v>
      </c>
      <c r="E39" s="6" t="s">
        <v>94</v>
      </c>
      <c r="F39" s="6" t="s">
        <v>95</v>
      </c>
      <c r="G39" s="6" t="s">
        <v>96</v>
      </c>
      <c r="H39" s="6" t="s">
        <v>97</v>
      </c>
      <c r="I39" s="6" t="s">
        <v>98</v>
      </c>
      <c r="J39" s="6" t="s">
        <v>14</v>
      </c>
      <c r="K39" s="6" t="s">
        <v>99</v>
      </c>
      <c r="L39" s="6" t="s">
        <v>28</v>
      </c>
      <c r="M39" s="6" t="s">
        <v>100</v>
      </c>
      <c r="N39" s="7">
        <v>1.45</v>
      </c>
      <c r="O39" s="7">
        <v>0</v>
      </c>
      <c r="P39" s="8" t="s">
        <v>27</v>
      </c>
      <c r="Q39" s="8" t="s">
        <v>277</v>
      </c>
    </row>
    <row r="40" spans="1:17" ht="15" x14ac:dyDescent="0.2">
      <c r="A40" s="23">
        <v>1</v>
      </c>
      <c r="B40" s="6" t="s">
        <v>47</v>
      </c>
      <c r="C40" s="6" t="s">
        <v>10</v>
      </c>
      <c r="D40" s="8" t="s">
        <v>96</v>
      </c>
      <c r="E40" s="6" t="s">
        <v>17</v>
      </c>
      <c r="F40" s="6" t="s">
        <v>216</v>
      </c>
      <c r="G40" s="6" t="s">
        <v>96</v>
      </c>
      <c r="H40" s="8" t="s">
        <v>96</v>
      </c>
      <c r="I40" s="8" t="s">
        <v>96</v>
      </c>
      <c r="J40" s="6" t="s">
        <v>14</v>
      </c>
      <c r="K40" s="6" t="s">
        <v>18</v>
      </c>
      <c r="L40" s="6" t="s">
        <v>14</v>
      </c>
      <c r="M40" s="6" t="s">
        <v>18</v>
      </c>
      <c r="N40" s="7">
        <v>0.9</v>
      </c>
      <c r="O40" s="7">
        <v>0</v>
      </c>
      <c r="P40" s="8" t="s">
        <v>27</v>
      </c>
      <c r="Q40" s="8" t="s">
        <v>279</v>
      </c>
    </row>
    <row r="41" spans="1:17" ht="15" x14ac:dyDescent="0.2">
      <c r="A41" s="23">
        <v>1</v>
      </c>
      <c r="B41" s="6" t="s">
        <v>49</v>
      </c>
      <c r="C41" s="6" t="s">
        <v>13</v>
      </c>
      <c r="D41" s="8" t="s">
        <v>96</v>
      </c>
      <c r="E41" s="3" t="s">
        <v>39</v>
      </c>
      <c r="F41" s="6" t="s">
        <v>220</v>
      </c>
      <c r="G41" s="8" t="s">
        <v>96</v>
      </c>
      <c r="H41" s="8" t="s">
        <v>96</v>
      </c>
      <c r="I41" s="8" t="s">
        <v>96</v>
      </c>
      <c r="J41" s="6" t="s">
        <v>38</v>
      </c>
      <c r="K41" s="6" t="s">
        <v>37</v>
      </c>
      <c r="L41" s="6" t="s">
        <v>40</v>
      </c>
      <c r="M41" s="6" t="s">
        <v>41</v>
      </c>
      <c r="N41" s="7">
        <v>1.68</v>
      </c>
      <c r="O41" s="7">
        <v>0</v>
      </c>
      <c r="P41" s="8" t="s">
        <v>213</v>
      </c>
      <c r="Q41" s="8" t="s">
        <v>275</v>
      </c>
    </row>
    <row r="42" spans="1:17" ht="15" x14ac:dyDescent="0.2">
      <c r="A42" s="23">
        <v>1</v>
      </c>
      <c r="B42" s="6" t="s">
        <v>48</v>
      </c>
      <c r="C42" s="6" t="s">
        <v>10</v>
      </c>
      <c r="D42" s="8" t="s">
        <v>96</v>
      </c>
      <c r="E42" s="3" t="s">
        <v>42</v>
      </c>
      <c r="F42" s="8"/>
      <c r="G42" s="8" t="s">
        <v>96</v>
      </c>
      <c r="H42" s="8" t="s">
        <v>96</v>
      </c>
      <c r="I42" s="8" t="s">
        <v>96</v>
      </c>
      <c r="J42" s="6" t="s">
        <v>45</v>
      </c>
      <c r="K42" s="6">
        <v>12935</v>
      </c>
      <c r="L42" s="6" t="s">
        <v>9</v>
      </c>
      <c r="M42" s="6" t="s">
        <v>43</v>
      </c>
      <c r="N42" s="7" t="s">
        <v>44</v>
      </c>
      <c r="O42" s="7">
        <v>0</v>
      </c>
      <c r="P42" s="8" t="s">
        <v>214</v>
      </c>
      <c r="Q42" s="8" t="s">
        <v>276</v>
      </c>
    </row>
    <row r="43" spans="1:17" ht="15" x14ac:dyDescent="0.2">
      <c r="A43" s="23">
        <v>1</v>
      </c>
      <c r="B43" s="6" t="s">
        <v>349</v>
      </c>
      <c r="C43" s="6" t="s">
        <v>13</v>
      </c>
      <c r="D43" s="8" t="s">
        <v>96</v>
      </c>
      <c r="E43" s="6" t="s">
        <v>32</v>
      </c>
      <c r="F43" s="8"/>
      <c r="G43" s="6" t="s">
        <v>96</v>
      </c>
      <c r="H43" s="8" t="s">
        <v>96</v>
      </c>
      <c r="I43" s="6" t="s">
        <v>96</v>
      </c>
      <c r="J43" s="6" t="s">
        <v>14</v>
      </c>
      <c r="K43" s="6" t="s">
        <v>34</v>
      </c>
      <c r="L43" s="6" t="s">
        <v>28</v>
      </c>
      <c r="M43" s="6" t="s">
        <v>33</v>
      </c>
      <c r="N43" s="7">
        <v>11.55</v>
      </c>
      <c r="O43" s="7">
        <v>0</v>
      </c>
      <c r="P43" s="8" t="s">
        <v>27</v>
      </c>
      <c r="Q43" s="8" t="s">
        <v>274</v>
      </c>
    </row>
    <row r="44" spans="1:17" ht="15" x14ac:dyDescent="0.2">
      <c r="A44" s="23">
        <v>8</v>
      </c>
      <c r="B44" s="6" t="s">
        <v>350</v>
      </c>
      <c r="C44" s="6" t="s">
        <v>10</v>
      </c>
      <c r="D44" s="8" t="s">
        <v>96</v>
      </c>
      <c r="E44" s="6" t="s">
        <v>15</v>
      </c>
      <c r="F44" s="6" t="s">
        <v>217</v>
      </c>
      <c r="G44" s="6" t="s">
        <v>96</v>
      </c>
      <c r="H44" s="8" t="s">
        <v>96</v>
      </c>
      <c r="I44" s="6" t="s">
        <v>96</v>
      </c>
      <c r="J44" s="6" t="s">
        <v>14</v>
      </c>
      <c r="K44" s="6" t="s">
        <v>16</v>
      </c>
      <c r="L44" s="6" t="s">
        <v>14</v>
      </c>
      <c r="M44" s="6" t="s">
        <v>16</v>
      </c>
      <c r="N44" s="2">
        <v>3.9089999999999998</v>
      </c>
      <c r="O44" s="7">
        <v>0</v>
      </c>
      <c r="P44" s="8" t="s">
        <v>112</v>
      </c>
      <c r="Q44" s="8" t="s">
        <v>280</v>
      </c>
    </row>
    <row r="45" spans="1:17" ht="15" x14ac:dyDescent="0.2">
      <c r="A45" s="23">
        <v>2</v>
      </c>
      <c r="B45" s="6" t="s">
        <v>351</v>
      </c>
      <c r="C45" s="6" t="s">
        <v>10</v>
      </c>
      <c r="D45" s="8" t="s">
        <v>96</v>
      </c>
      <c r="E45" s="6" t="s">
        <v>31</v>
      </c>
      <c r="F45" s="6" t="s">
        <v>215</v>
      </c>
      <c r="G45" s="6" t="s">
        <v>96</v>
      </c>
      <c r="H45" s="8" t="s">
        <v>96</v>
      </c>
      <c r="I45" s="6" t="s">
        <v>96</v>
      </c>
      <c r="J45" s="6" t="s">
        <v>14</v>
      </c>
      <c r="K45" s="6" t="s">
        <v>29</v>
      </c>
      <c r="L45" s="6" t="s">
        <v>14</v>
      </c>
      <c r="M45" s="6" t="s">
        <v>30</v>
      </c>
      <c r="N45" s="7">
        <v>11.06</v>
      </c>
      <c r="O45" s="7">
        <v>0</v>
      </c>
      <c r="P45" s="8" t="s">
        <v>27</v>
      </c>
      <c r="Q45" s="8" t="s">
        <v>278</v>
      </c>
    </row>
    <row r="46" spans="1:17" ht="15" x14ac:dyDescent="0.2">
      <c r="A46" s="23">
        <v>1</v>
      </c>
      <c r="B46" s="6" t="s">
        <v>243</v>
      </c>
      <c r="C46" s="6" t="s">
        <v>11</v>
      </c>
      <c r="D46" s="8" t="s">
        <v>96</v>
      </c>
      <c r="E46" s="8" t="s">
        <v>228</v>
      </c>
      <c r="F46" s="6" t="s">
        <v>96</v>
      </c>
      <c r="G46" s="6" t="s">
        <v>96</v>
      </c>
      <c r="H46" s="8" t="s">
        <v>96</v>
      </c>
      <c r="I46" s="6" t="s">
        <v>96</v>
      </c>
      <c r="J46" s="8" t="s">
        <v>227</v>
      </c>
      <c r="K46" s="6" t="s">
        <v>226</v>
      </c>
      <c r="L46" s="6" t="s">
        <v>9</v>
      </c>
      <c r="M46" s="8" t="s">
        <v>229</v>
      </c>
      <c r="N46" s="7">
        <v>34.950000000000003</v>
      </c>
      <c r="O46" s="7">
        <v>0</v>
      </c>
      <c r="P46" s="8" t="s">
        <v>25</v>
      </c>
      <c r="Q46" s="8" t="s">
        <v>281</v>
      </c>
    </row>
    <row r="47" spans="1:17" ht="15" x14ac:dyDescent="0.2">
      <c r="A47" s="23">
        <v>1</v>
      </c>
      <c r="B47" s="6" t="s">
        <v>234</v>
      </c>
      <c r="C47" s="6" t="s">
        <v>235</v>
      </c>
      <c r="D47" s="8" t="s">
        <v>236</v>
      </c>
      <c r="E47" s="8" t="s">
        <v>239</v>
      </c>
      <c r="F47" s="6" t="s">
        <v>238</v>
      </c>
      <c r="G47" s="6" t="s">
        <v>96</v>
      </c>
      <c r="H47" s="8" t="s">
        <v>96</v>
      </c>
      <c r="I47" s="6" t="s">
        <v>96</v>
      </c>
      <c r="J47" s="8" t="s">
        <v>237</v>
      </c>
      <c r="K47" s="8" t="s">
        <v>218</v>
      </c>
      <c r="L47" s="6" t="s">
        <v>9</v>
      </c>
      <c r="M47" s="8" t="s">
        <v>219</v>
      </c>
      <c r="N47" s="8">
        <v>0.83099999999999996</v>
      </c>
      <c r="O47" s="7">
        <v>0</v>
      </c>
      <c r="P47" s="8" t="s">
        <v>214</v>
      </c>
      <c r="Q47" s="8" t="s">
        <v>286</v>
      </c>
    </row>
    <row r="52" spans="3:16" ht="15" x14ac:dyDescent="0.2">
      <c r="C52" s="8"/>
      <c r="D52" s="8"/>
      <c r="E52" s="8"/>
      <c r="F52" s="16"/>
      <c r="G52" s="18"/>
      <c r="H52" s="8"/>
      <c r="I52" s="8"/>
      <c r="J52" s="8"/>
      <c r="K52" s="8"/>
      <c r="L52" s="8"/>
      <c r="M52" s="8"/>
      <c r="N52" s="8"/>
      <c r="O52" s="8"/>
      <c r="P52" s="8"/>
    </row>
  </sheetData>
  <hyperlinks>
    <hyperlink ref="B4" r:id="rId1" location="common_component_prefixes" display="Reference Designator" xr:uid="{4818B194-E1A0-40AE-ACB7-BEFE159C77DF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DCE93-6AF6-4E19-8B76-EC8302CAC997}">
  <dimension ref="A1:Q44"/>
  <sheetViews>
    <sheetView topLeftCell="D2" zoomScale="77" zoomScaleNormal="100" workbookViewId="0">
      <selection activeCell="O45" sqref="O45"/>
    </sheetView>
  </sheetViews>
  <sheetFormatPr defaultRowHeight="12.75" x14ac:dyDescent="0.2"/>
  <cols>
    <col min="2" max="2" width="21.85546875" customWidth="1"/>
    <col min="4" max="4" width="28.85546875" bestFit="1" customWidth="1"/>
    <col min="5" max="5" width="28.85546875" customWidth="1"/>
    <col min="6" max="6" width="9.7109375" customWidth="1"/>
    <col min="7" max="7" width="10" customWidth="1"/>
    <col min="8" max="8" width="14" bestFit="1" customWidth="1"/>
    <col min="9" max="9" width="15.28515625" bestFit="1" customWidth="1"/>
    <col min="10" max="10" width="51" customWidth="1"/>
    <col min="11" max="11" width="24.28515625" bestFit="1" customWidth="1"/>
    <col min="12" max="12" width="41.5703125" bestFit="1" customWidth="1"/>
    <col min="16" max="16" width="15" bestFit="1" customWidth="1"/>
  </cols>
  <sheetData>
    <row r="1" spans="1:17" ht="15.75" x14ac:dyDescent="0.25">
      <c r="A1" s="9" t="s">
        <v>4</v>
      </c>
      <c r="B1" s="9"/>
      <c r="C1" s="9"/>
      <c r="D1" s="10">
        <v>45664</v>
      </c>
      <c r="E1" s="10"/>
      <c r="F1" s="10"/>
      <c r="G1" s="10"/>
      <c r="H1" s="10"/>
      <c r="I1" s="10"/>
      <c r="J1" s="11" t="s">
        <v>19</v>
      </c>
      <c r="K1" s="9"/>
      <c r="L1" s="9" t="s">
        <v>20</v>
      </c>
      <c r="M1" s="9"/>
      <c r="N1" s="7"/>
      <c r="O1" s="7"/>
      <c r="P1" s="8"/>
      <c r="Q1" s="1"/>
    </row>
    <row r="2" spans="1:17" ht="15.75" x14ac:dyDescent="0.25">
      <c r="A2" s="9" t="s">
        <v>36</v>
      </c>
      <c r="B2" s="9"/>
      <c r="C2" s="9"/>
      <c r="D2" s="15" t="s">
        <v>26</v>
      </c>
      <c r="E2" s="15"/>
      <c r="F2" s="15"/>
      <c r="G2" s="15"/>
      <c r="H2" s="15"/>
      <c r="I2" s="15"/>
      <c r="J2" s="12" t="s">
        <v>35</v>
      </c>
      <c r="K2" s="9"/>
      <c r="L2" s="9"/>
      <c r="M2" s="9"/>
      <c r="N2" s="7"/>
      <c r="O2" s="7"/>
      <c r="P2" s="8"/>
      <c r="Q2" s="1"/>
    </row>
    <row r="3" spans="1:17" ht="15.75" x14ac:dyDescent="0.25">
      <c r="A3" s="9"/>
      <c r="B3" s="9"/>
      <c r="C3" s="9"/>
      <c r="D3" s="9"/>
      <c r="E3" s="9"/>
      <c r="F3" s="9"/>
      <c r="G3" s="9"/>
      <c r="H3" s="9"/>
      <c r="I3" s="9"/>
      <c r="J3" s="9" t="s">
        <v>241</v>
      </c>
      <c r="K3" s="9"/>
      <c r="L3" s="9"/>
      <c r="M3" s="9"/>
      <c r="N3" s="7"/>
      <c r="O3" s="7"/>
      <c r="P3" s="8"/>
      <c r="Q3" s="1"/>
    </row>
    <row r="4" spans="1:17" ht="15.75" x14ac:dyDescent="0.25">
      <c r="A4" s="6" t="s">
        <v>23</v>
      </c>
      <c r="B4" s="13" t="s">
        <v>22</v>
      </c>
      <c r="C4" s="6"/>
      <c r="D4" s="6"/>
      <c r="E4" s="6"/>
      <c r="F4" s="6"/>
      <c r="G4" s="6"/>
      <c r="H4" s="6"/>
      <c r="I4" s="6"/>
      <c r="J4" s="14" t="s">
        <v>242</v>
      </c>
      <c r="K4" s="6"/>
      <c r="L4" s="6"/>
      <c r="M4" s="6"/>
      <c r="N4" s="7"/>
      <c r="O4" s="7"/>
      <c r="P4" s="8"/>
      <c r="Q4" s="1"/>
    </row>
    <row r="5" spans="1:17" ht="15.75" x14ac:dyDescent="0.25">
      <c r="A5" s="6" t="s">
        <v>0</v>
      </c>
      <c r="B5" s="6" t="s">
        <v>21</v>
      </c>
      <c r="C5" s="6" t="s">
        <v>12</v>
      </c>
      <c r="D5" s="6" t="s">
        <v>52</v>
      </c>
      <c r="E5" s="6" t="s">
        <v>1</v>
      </c>
      <c r="F5" s="6" t="s">
        <v>54</v>
      </c>
      <c r="G5" s="6" t="s">
        <v>65</v>
      </c>
      <c r="H5" s="6" t="s">
        <v>66</v>
      </c>
      <c r="I5" s="6" t="s">
        <v>69</v>
      </c>
      <c r="J5" s="6" t="s">
        <v>6</v>
      </c>
      <c r="K5" s="6" t="s">
        <v>7</v>
      </c>
      <c r="L5" s="6" t="s">
        <v>5</v>
      </c>
      <c r="M5" s="6" t="s">
        <v>8</v>
      </c>
      <c r="N5" s="7" t="s">
        <v>2</v>
      </c>
      <c r="O5" s="7" t="s">
        <v>3</v>
      </c>
      <c r="P5" s="8" t="s">
        <v>24</v>
      </c>
      <c r="Q5" s="1" t="s">
        <v>25</v>
      </c>
    </row>
    <row r="6" spans="1:17" ht="15" x14ac:dyDescent="0.2">
      <c r="A6" s="8">
        <v>17</v>
      </c>
      <c r="B6" s="8" t="s">
        <v>295</v>
      </c>
      <c r="C6" s="8" t="s">
        <v>53</v>
      </c>
      <c r="D6" s="8" t="s">
        <v>56</v>
      </c>
      <c r="E6" s="8" t="s">
        <v>131</v>
      </c>
      <c r="F6" s="16" t="s">
        <v>55</v>
      </c>
      <c r="G6" s="17">
        <v>0.1</v>
      </c>
      <c r="H6" s="16" t="s">
        <v>133</v>
      </c>
      <c r="I6" s="16" t="s">
        <v>132</v>
      </c>
      <c r="J6" s="8" t="s">
        <v>134</v>
      </c>
      <c r="K6" s="5" t="s">
        <v>135</v>
      </c>
      <c r="L6" s="8" t="s">
        <v>109</v>
      </c>
      <c r="M6" s="5" t="s">
        <v>136</v>
      </c>
      <c r="N6" s="8">
        <v>1.2999999999999999E-2</v>
      </c>
      <c r="O6" s="8">
        <f>N6*A6</f>
        <v>0.221</v>
      </c>
      <c r="P6" s="8" t="s">
        <v>109</v>
      </c>
      <c r="Q6" t="s">
        <v>250</v>
      </c>
    </row>
    <row r="7" spans="1:17" ht="15" x14ac:dyDescent="0.2">
      <c r="A7" s="8">
        <v>2</v>
      </c>
      <c r="B7" s="8" t="s">
        <v>63</v>
      </c>
      <c r="C7" s="8" t="s">
        <v>53</v>
      </c>
      <c r="D7" s="8" t="s">
        <v>57</v>
      </c>
      <c r="E7" s="8" t="s">
        <v>138</v>
      </c>
      <c r="F7" s="16" t="s">
        <v>55</v>
      </c>
      <c r="G7" s="17">
        <v>0.1</v>
      </c>
      <c r="H7" s="16" t="s">
        <v>142</v>
      </c>
      <c r="I7" s="16" t="s">
        <v>132</v>
      </c>
      <c r="J7" s="8" t="s">
        <v>137</v>
      </c>
      <c r="K7" s="8" t="s">
        <v>139</v>
      </c>
      <c r="L7" s="8" t="s">
        <v>109</v>
      </c>
      <c r="M7" s="8" t="s">
        <v>140</v>
      </c>
      <c r="N7" s="8">
        <v>3.5999999999999997E-2</v>
      </c>
      <c r="O7" s="8">
        <f t="shared" ref="O7:O9" si="0">N7*A7</f>
        <v>7.1999999999999995E-2</v>
      </c>
      <c r="P7" s="8" t="s">
        <v>109</v>
      </c>
      <c r="Q7" t="s">
        <v>251</v>
      </c>
    </row>
    <row r="8" spans="1:17" ht="15" x14ac:dyDescent="0.2">
      <c r="A8" s="8">
        <v>4</v>
      </c>
      <c r="B8" s="8" t="s">
        <v>71</v>
      </c>
      <c r="C8" s="8" t="s">
        <v>53</v>
      </c>
      <c r="D8" s="8" t="s">
        <v>58</v>
      </c>
      <c r="E8" s="8" t="s">
        <v>141</v>
      </c>
      <c r="F8" s="16" t="s">
        <v>55</v>
      </c>
      <c r="G8" s="18">
        <v>0.05</v>
      </c>
      <c r="H8" s="8" t="s">
        <v>133</v>
      </c>
      <c r="I8" s="8" t="s">
        <v>146</v>
      </c>
      <c r="J8" s="8" t="s">
        <v>149</v>
      </c>
      <c r="K8" s="8" t="s">
        <v>150</v>
      </c>
      <c r="L8" s="8" t="s">
        <v>109</v>
      </c>
      <c r="M8" s="8" t="s">
        <v>151</v>
      </c>
      <c r="N8" s="8">
        <v>5.0999999999999997E-2</v>
      </c>
      <c r="O8" s="8">
        <f t="shared" si="0"/>
        <v>0.20399999999999999</v>
      </c>
      <c r="P8" s="8" t="s">
        <v>109</v>
      </c>
      <c r="Q8" t="s">
        <v>252</v>
      </c>
    </row>
    <row r="9" spans="1:17" ht="15" x14ac:dyDescent="0.2">
      <c r="A9" s="8">
        <v>1</v>
      </c>
      <c r="B9" s="8" t="s">
        <v>60</v>
      </c>
      <c r="C9" s="8" t="s">
        <v>53</v>
      </c>
      <c r="D9" s="8" t="s">
        <v>59</v>
      </c>
      <c r="E9" s="8" t="s">
        <v>249</v>
      </c>
      <c r="F9" s="16" t="s">
        <v>248</v>
      </c>
      <c r="G9" s="18">
        <v>0.1</v>
      </c>
      <c r="H9" s="8" t="s">
        <v>142</v>
      </c>
      <c r="I9" s="8" t="s">
        <v>144</v>
      </c>
      <c r="J9" s="8" t="s">
        <v>245</v>
      </c>
      <c r="K9" s="5" t="s">
        <v>246</v>
      </c>
      <c r="L9" s="8" t="s">
        <v>109</v>
      </c>
      <c r="M9" s="5" t="s">
        <v>247</v>
      </c>
      <c r="N9" s="8">
        <v>2.08</v>
      </c>
      <c r="O9" s="8">
        <f t="shared" si="0"/>
        <v>2.08</v>
      </c>
      <c r="P9" s="8" t="s">
        <v>109</v>
      </c>
      <c r="Q9" t="s">
        <v>253</v>
      </c>
    </row>
    <row r="10" spans="1:17" ht="15" x14ac:dyDescent="0.2">
      <c r="A10" s="8">
        <v>2</v>
      </c>
      <c r="B10" s="8" t="s">
        <v>62</v>
      </c>
      <c r="C10" s="8" t="s">
        <v>53</v>
      </c>
      <c r="D10" s="8" t="s">
        <v>61</v>
      </c>
      <c r="E10" s="8" t="s">
        <v>145</v>
      </c>
      <c r="F10" s="16" t="s">
        <v>55</v>
      </c>
      <c r="G10" s="18">
        <v>0.01</v>
      </c>
      <c r="H10" s="8" t="s">
        <v>133</v>
      </c>
      <c r="I10" s="8" t="s">
        <v>146</v>
      </c>
      <c r="J10" s="8" t="s">
        <v>147</v>
      </c>
      <c r="K10" s="8" t="s">
        <v>148</v>
      </c>
      <c r="L10" s="8" t="s">
        <v>109</v>
      </c>
      <c r="M10" s="8" t="s">
        <v>153</v>
      </c>
      <c r="N10" s="8">
        <v>2.5000000000000001E-2</v>
      </c>
      <c r="O10" s="8">
        <f>A10*N10</f>
        <v>0.05</v>
      </c>
      <c r="P10" s="8" t="s">
        <v>109</v>
      </c>
      <c r="Q10" t="s">
        <v>254</v>
      </c>
    </row>
    <row r="11" spans="1:17" ht="15" x14ac:dyDescent="0.2">
      <c r="A11" s="8">
        <v>4</v>
      </c>
      <c r="B11" s="8" t="s">
        <v>70</v>
      </c>
      <c r="C11" s="8" t="s">
        <v>53</v>
      </c>
      <c r="D11" s="8" t="s">
        <v>64</v>
      </c>
      <c r="E11" s="8" t="s">
        <v>155</v>
      </c>
      <c r="F11" s="16" t="s">
        <v>55</v>
      </c>
      <c r="G11" s="18">
        <v>0.1</v>
      </c>
      <c r="H11" s="8" t="s">
        <v>142</v>
      </c>
      <c r="I11" s="8" t="s">
        <v>132</v>
      </c>
      <c r="J11" s="8" t="s">
        <v>147</v>
      </c>
      <c r="K11" s="8" t="s">
        <v>156</v>
      </c>
      <c r="L11" s="8" t="s">
        <v>109</v>
      </c>
      <c r="M11" s="8" t="s">
        <v>154</v>
      </c>
      <c r="N11" s="8">
        <v>2.5000000000000001E-2</v>
      </c>
      <c r="O11" s="8">
        <f t="shared" ref="O11:O26" si="1">A11*N11</f>
        <v>0.1</v>
      </c>
      <c r="P11" s="8" t="s">
        <v>109</v>
      </c>
      <c r="Q11" t="s">
        <v>254</v>
      </c>
    </row>
    <row r="12" spans="1:17" ht="15" x14ac:dyDescent="0.2">
      <c r="A12" s="8">
        <v>2</v>
      </c>
      <c r="B12" s="8" t="s">
        <v>72</v>
      </c>
      <c r="C12" s="8" t="s">
        <v>53</v>
      </c>
      <c r="D12" s="8" t="s">
        <v>157</v>
      </c>
      <c r="E12" s="8" t="s">
        <v>159</v>
      </c>
      <c r="F12" s="16" t="s">
        <v>55</v>
      </c>
      <c r="G12" s="18">
        <v>0.05</v>
      </c>
      <c r="H12" s="8" t="s">
        <v>133</v>
      </c>
      <c r="I12" s="8" t="s">
        <v>146</v>
      </c>
      <c r="J12" s="8" t="s">
        <v>149</v>
      </c>
      <c r="K12" s="8" t="s">
        <v>160</v>
      </c>
      <c r="L12" s="8" t="s">
        <v>109</v>
      </c>
      <c r="M12" s="8" t="s">
        <v>158</v>
      </c>
      <c r="N12" s="8">
        <v>0.04</v>
      </c>
      <c r="O12" s="8">
        <f t="shared" si="1"/>
        <v>0.08</v>
      </c>
      <c r="P12" s="8" t="s">
        <v>109</v>
      </c>
      <c r="Q12" t="s">
        <v>255</v>
      </c>
    </row>
    <row r="13" spans="1:17" ht="15" x14ac:dyDescent="0.2">
      <c r="A13" s="8">
        <v>4</v>
      </c>
      <c r="B13" s="8" t="s">
        <v>73</v>
      </c>
      <c r="C13" s="8" t="s">
        <v>53</v>
      </c>
      <c r="D13" s="8" t="s">
        <v>67</v>
      </c>
      <c r="E13" s="8" t="s">
        <v>161</v>
      </c>
      <c r="F13" s="16" t="s">
        <v>55</v>
      </c>
      <c r="G13" s="18">
        <v>0.05</v>
      </c>
      <c r="H13" s="8" t="s">
        <v>133</v>
      </c>
      <c r="I13" s="8" t="s">
        <v>146</v>
      </c>
      <c r="J13" s="8" t="s">
        <v>149</v>
      </c>
      <c r="K13" s="8" t="s">
        <v>162</v>
      </c>
      <c r="L13" s="8" t="s">
        <v>109</v>
      </c>
      <c r="M13" s="8" t="s">
        <v>163</v>
      </c>
      <c r="N13" s="8">
        <v>2.7E-2</v>
      </c>
      <c r="O13" s="8">
        <f t="shared" si="1"/>
        <v>0.108</v>
      </c>
      <c r="P13" s="8" t="s">
        <v>109</v>
      </c>
      <c r="Q13" t="s">
        <v>256</v>
      </c>
    </row>
    <row r="14" spans="1:17" ht="15" x14ac:dyDescent="0.2">
      <c r="A14" s="8">
        <v>3</v>
      </c>
      <c r="B14" s="8" t="s">
        <v>296</v>
      </c>
      <c r="C14" s="8" t="s">
        <v>53</v>
      </c>
      <c r="D14" s="8" t="s">
        <v>68</v>
      </c>
      <c r="E14" s="8" t="s">
        <v>167</v>
      </c>
      <c r="F14" s="8" t="s">
        <v>93</v>
      </c>
      <c r="G14" s="18">
        <v>0.1</v>
      </c>
      <c r="H14" s="8" t="s">
        <v>166</v>
      </c>
      <c r="I14" s="8" t="s">
        <v>132</v>
      </c>
      <c r="J14" s="8" t="s">
        <v>134</v>
      </c>
      <c r="K14" s="8" t="s">
        <v>165</v>
      </c>
      <c r="L14" s="8" t="s">
        <v>109</v>
      </c>
      <c r="M14" s="8" t="s">
        <v>164</v>
      </c>
      <c r="N14" s="8">
        <v>2.3E-2</v>
      </c>
      <c r="O14" s="8">
        <f t="shared" si="1"/>
        <v>6.9000000000000006E-2</v>
      </c>
      <c r="P14" s="8" t="s">
        <v>109</v>
      </c>
      <c r="Q14" t="s">
        <v>257</v>
      </c>
    </row>
    <row r="15" spans="1:17" ht="15" x14ac:dyDescent="0.2">
      <c r="A15" s="8">
        <v>33</v>
      </c>
      <c r="B15" s="8" t="s">
        <v>91</v>
      </c>
      <c r="C15" s="8" t="s">
        <v>77</v>
      </c>
      <c r="D15" s="8" t="s">
        <v>74</v>
      </c>
      <c r="E15" s="8" t="s">
        <v>173</v>
      </c>
      <c r="F15" s="16" t="s">
        <v>55</v>
      </c>
      <c r="G15" s="18">
        <v>0.01</v>
      </c>
      <c r="H15" s="8" t="s">
        <v>172</v>
      </c>
      <c r="I15" s="8" t="s">
        <v>171</v>
      </c>
      <c r="J15" s="8" t="s">
        <v>170</v>
      </c>
      <c r="K15" s="8" t="s">
        <v>168</v>
      </c>
      <c r="L15" s="8" t="s">
        <v>109</v>
      </c>
      <c r="M15" s="8" t="s">
        <v>169</v>
      </c>
      <c r="N15" s="8">
        <v>8.9999999999999993E-3</v>
      </c>
      <c r="O15" s="8">
        <f t="shared" si="1"/>
        <v>0.29699999999999999</v>
      </c>
      <c r="P15" s="8" t="s">
        <v>109</v>
      </c>
      <c r="Q15" t="s">
        <v>258</v>
      </c>
    </row>
    <row r="16" spans="1:17" ht="15" x14ac:dyDescent="0.2">
      <c r="A16" s="8">
        <v>6</v>
      </c>
      <c r="B16" s="8" t="s">
        <v>81</v>
      </c>
      <c r="C16" s="8" t="s">
        <v>77</v>
      </c>
      <c r="D16" s="8" t="s">
        <v>75</v>
      </c>
      <c r="E16" s="8" t="s">
        <v>175</v>
      </c>
      <c r="F16" s="16" t="s">
        <v>55</v>
      </c>
      <c r="G16" s="18">
        <v>0.01</v>
      </c>
      <c r="H16" s="8" t="s">
        <v>172</v>
      </c>
      <c r="I16" s="8" t="s">
        <v>171</v>
      </c>
      <c r="J16" s="8" t="s">
        <v>170</v>
      </c>
      <c r="K16" s="8" t="s">
        <v>176</v>
      </c>
      <c r="L16" s="8" t="s">
        <v>109</v>
      </c>
      <c r="M16" s="8" t="s">
        <v>174</v>
      </c>
      <c r="N16" s="8">
        <v>1.0999999999999999E-2</v>
      </c>
      <c r="O16" s="8">
        <f t="shared" si="1"/>
        <v>6.6000000000000003E-2</v>
      </c>
      <c r="P16" s="8" t="s">
        <v>109</v>
      </c>
      <c r="Q16" t="s">
        <v>258</v>
      </c>
    </row>
    <row r="17" spans="1:17" ht="15" x14ac:dyDescent="0.2">
      <c r="A17" s="8">
        <v>20</v>
      </c>
      <c r="B17" s="8" t="s">
        <v>83</v>
      </c>
      <c r="C17" s="8" t="s">
        <v>77</v>
      </c>
      <c r="D17" s="8" t="s">
        <v>76</v>
      </c>
      <c r="E17" s="8" t="s">
        <v>181</v>
      </c>
      <c r="F17" s="16" t="s">
        <v>55</v>
      </c>
      <c r="G17" s="19">
        <v>5.0000000000000001E-3</v>
      </c>
      <c r="H17" s="8" t="s">
        <v>180</v>
      </c>
      <c r="I17" s="8" t="s">
        <v>179</v>
      </c>
      <c r="J17" s="8" t="s">
        <v>170</v>
      </c>
      <c r="K17" s="8" t="s">
        <v>178</v>
      </c>
      <c r="L17" s="8" t="s">
        <v>109</v>
      </c>
      <c r="M17" s="8" t="s">
        <v>177</v>
      </c>
      <c r="N17" s="8">
        <v>0.02</v>
      </c>
      <c r="O17" s="8">
        <f t="shared" si="1"/>
        <v>0.4</v>
      </c>
      <c r="P17" s="8" t="s">
        <v>109</v>
      </c>
      <c r="Q17" t="s">
        <v>259</v>
      </c>
    </row>
    <row r="18" spans="1:17" ht="15" x14ac:dyDescent="0.2">
      <c r="A18" s="8">
        <v>4</v>
      </c>
      <c r="B18" s="8" t="s">
        <v>82</v>
      </c>
      <c r="C18" s="8" t="s">
        <v>77</v>
      </c>
      <c r="D18" s="8" t="s">
        <v>78</v>
      </c>
      <c r="E18" s="8" t="s">
        <v>187</v>
      </c>
      <c r="F18" s="16" t="s">
        <v>55</v>
      </c>
      <c r="G18" s="19">
        <v>5.0000000000000001E-3</v>
      </c>
      <c r="H18" s="8" t="s">
        <v>186</v>
      </c>
      <c r="I18" s="8" t="s">
        <v>182</v>
      </c>
      <c r="J18" s="8" t="s">
        <v>184</v>
      </c>
      <c r="K18" s="8" t="s">
        <v>185</v>
      </c>
      <c r="L18" s="8" t="s">
        <v>109</v>
      </c>
      <c r="M18" s="8" t="s">
        <v>183</v>
      </c>
      <c r="N18" s="8">
        <v>1.4999999999999999E-2</v>
      </c>
      <c r="O18" s="8">
        <f t="shared" si="1"/>
        <v>0.06</v>
      </c>
      <c r="P18" s="8" t="s">
        <v>109</v>
      </c>
      <c r="Q18" t="s">
        <v>260</v>
      </c>
    </row>
    <row r="19" spans="1:17" ht="15" x14ac:dyDescent="0.2">
      <c r="A19" s="8">
        <v>2</v>
      </c>
      <c r="B19" s="8" t="s">
        <v>225</v>
      </c>
      <c r="C19" s="8" t="s">
        <v>79</v>
      </c>
      <c r="D19" s="8" t="s">
        <v>80</v>
      </c>
      <c r="E19" s="8" t="s">
        <v>190</v>
      </c>
      <c r="F19" s="16" t="s">
        <v>55</v>
      </c>
      <c r="G19" s="18">
        <v>0.01</v>
      </c>
      <c r="H19" s="8" t="s">
        <v>186</v>
      </c>
      <c r="I19" s="8" t="s">
        <v>182</v>
      </c>
      <c r="J19" s="8" t="s">
        <v>184</v>
      </c>
      <c r="K19" s="8" t="s">
        <v>189</v>
      </c>
      <c r="L19" s="8" t="s">
        <v>109</v>
      </c>
      <c r="M19" s="8" t="s">
        <v>188</v>
      </c>
      <c r="N19" s="8">
        <v>1.2999999999999999E-2</v>
      </c>
      <c r="O19" s="8">
        <f t="shared" si="1"/>
        <v>2.5999999999999999E-2</v>
      </c>
      <c r="P19" s="8" t="s">
        <v>109</v>
      </c>
      <c r="Q19" t="s">
        <v>261</v>
      </c>
    </row>
    <row r="20" spans="1:17" ht="15" x14ac:dyDescent="0.2">
      <c r="A20" s="8">
        <v>2</v>
      </c>
      <c r="B20" s="8" t="s">
        <v>84</v>
      </c>
      <c r="C20" s="8" t="s">
        <v>77</v>
      </c>
      <c r="D20" s="16" t="s">
        <v>124</v>
      </c>
      <c r="E20" s="8" t="s">
        <v>192</v>
      </c>
      <c r="F20" s="16" t="s">
        <v>55</v>
      </c>
      <c r="G20" s="18">
        <v>0.05</v>
      </c>
      <c r="H20" s="8" t="s">
        <v>193</v>
      </c>
      <c r="I20" s="8" t="s">
        <v>194</v>
      </c>
      <c r="J20" s="8" t="s">
        <v>197</v>
      </c>
      <c r="K20" s="8" t="s">
        <v>195</v>
      </c>
      <c r="L20" s="8" t="s">
        <v>109</v>
      </c>
      <c r="M20" s="8" t="s">
        <v>191</v>
      </c>
      <c r="N20" s="8">
        <v>2.5999999999999999E-2</v>
      </c>
      <c r="O20" s="8">
        <f t="shared" si="1"/>
        <v>5.1999999999999998E-2</v>
      </c>
      <c r="P20" s="8" t="s">
        <v>109</v>
      </c>
      <c r="Q20" t="s">
        <v>262</v>
      </c>
    </row>
    <row r="21" spans="1:17" ht="15" x14ac:dyDescent="0.2">
      <c r="A21" s="8">
        <v>1</v>
      </c>
      <c r="B21" s="8" t="s">
        <v>85</v>
      </c>
      <c r="C21" s="8" t="s">
        <v>77</v>
      </c>
      <c r="D21" s="8" t="s">
        <v>86</v>
      </c>
      <c r="E21" s="8" t="s">
        <v>199</v>
      </c>
      <c r="F21" s="16" t="s">
        <v>55</v>
      </c>
      <c r="G21" s="19">
        <v>5.0000000000000001E-3</v>
      </c>
      <c r="H21" s="8" t="s">
        <v>186</v>
      </c>
      <c r="I21" s="8" t="s">
        <v>171</v>
      </c>
      <c r="J21" s="8" t="s">
        <v>197</v>
      </c>
      <c r="K21" s="8" t="s">
        <v>198</v>
      </c>
      <c r="L21" s="8" t="s">
        <v>109</v>
      </c>
      <c r="M21" s="8" t="s">
        <v>196</v>
      </c>
      <c r="N21" s="8">
        <v>5.5E-2</v>
      </c>
      <c r="O21" s="8">
        <f t="shared" si="1"/>
        <v>5.5E-2</v>
      </c>
      <c r="P21" s="8" t="s">
        <v>109</v>
      </c>
      <c r="Q21" t="s">
        <v>263</v>
      </c>
    </row>
    <row r="22" spans="1:17" ht="15" x14ac:dyDescent="0.2">
      <c r="A22" s="8">
        <v>1</v>
      </c>
      <c r="B22" s="8" t="s">
        <v>87</v>
      </c>
      <c r="C22" s="8" t="s">
        <v>77</v>
      </c>
      <c r="D22" s="8" t="s">
        <v>88</v>
      </c>
      <c r="E22" s="8" t="s">
        <v>201</v>
      </c>
      <c r="F22" s="16" t="s">
        <v>55</v>
      </c>
      <c r="G22" s="18">
        <v>0.01</v>
      </c>
      <c r="H22" s="8" t="s">
        <v>186</v>
      </c>
      <c r="I22" s="8" t="s">
        <v>182</v>
      </c>
      <c r="J22" s="8" t="s">
        <v>184</v>
      </c>
      <c r="K22" s="8" t="s">
        <v>202</v>
      </c>
      <c r="L22" s="8" t="s">
        <v>109</v>
      </c>
      <c r="M22" s="8" t="s">
        <v>200</v>
      </c>
      <c r="N22" s="8">
        <v>0.06</v>
      </c>
      <c r="O22" s="8">
        <f t="shared" si="1"/>
        <v>0.06</v>
      </c>
      <c r="P22" s="8" t="s">
        <v>109</v>
      </c>
      <c r="Q22" t="s">
        <v>264</v>
      </c>
    </row>
    <row r="23" spans="1:17" ht="15" x14ac:dyDescent="0.2">
      <c r="A23" s="8">
        <v>1</v>
      </c>
      <c r="B23" s="8" t="s">
        <v>89</v>
      </c>
      <c r="C23" s="8" t="s">
        <v>77</v>
      </c>
      <c r="D23" s="8" t="s">
        <v>90</v>
      </c>
      <c r="E23" s="8" t="s">
        <v>205</v>
      </c>
      <c r="F23" s="16" t="s">
        <v>55</v>
      </c>
      <c r="G23" s="18">
        <v>0.05</v>
      </c>
      <c r="H23" s="8" t="s">
        <v>186</v>
      </c>
      <c r="I23" s="8" t="s">
        <v>182</v>
      </c>
      <c r="J23" s="8" t="s">
        <v>184</v>
      </c>
      <c r="K23" s="8" t="s">
        <v>204</v>
      </c>
      <c r="L23" s="8" t="s">
        <v>109</v>
      </c>
      <c r="M23" s="8" t="s">
        <v>203</v>
      </c>
      <c r="N23" s="8">
        <v>0.01</v>
      </c>
      <c r="O23" s="8">
        <f t="shared" si="1"/>
        <v>0.01</v>
      </c>
      <c r="P23" s="8" t="s">
        <v>109</v>
      </c>
      <c r="Q23" t="s">
        <v>265</v>
      </c>
    </row>
    <row r="24" spans="1:17" ht="15" x14ac:dyDescent="0.2">
      <c r="A24" s="8">
        <v>8</v>
      </c>
      <c r="B24" s="8" t="s">
        <v>122</v>
      </c>
      <c r="C24" s="8" t="s">
        <v>92</v>
      </c>
      <c r="D24" s="8" t="s">
        <v>74</v>
      </c>
      <c r="E24" s="8" t="s">
        <v>207</v>
      </c>
      <c r="F24" s="16" t="s">
        <v>105</v>
      </c>
      <c r="G24" s="8" t="s">
        <v>96</v>
      </c>
      <c r="H24" s="8" t="s">
        <v>208</v>
      </c>
      <c r="I24" s="8" t="s">
        <v>209</v>
      </c>
      <c r="J24" s="8" t="s">
        <v>130</v>
      </c>
      <c r="K24" s="8" t="s">
        <v>129</v>
      </c>
      <c r="L24" s="8" t="s">
        <v>109</v>
      </c>
      <c r="M24" s="8" t="s">
        <v>206</v>
      </c>
      <c r="N24" s="8">
        <v>1.0169999999999999</v>
      </c>
      <c r="O24" s="8">
        <f t="shared" si="1"/>
        <v>8.1359999999999992</v>
      </c>
      <c r="P24" s="8" t="s">
        <v>109</v>
      </c>
      <c r="Q24" t="s">
        <v>266</v>
      </c>
    </row>
    <row r="25" spans="1:17" ht="15" x14ac:dyDescent="0.2">
      <c r="A25" s="8">
        <v>2</v>
      </c>
      <c r="B25" s="8" t="s">
        <v>113</v>
      </c>
      <c r="C25" s="8" t="s">
        <v>77</v>
      </c>
      <c r="D25" s="8" t="s">
        <v>123</v>
      </c>
      <c r="E25" s="8" t="s">
        <v>212</v>
      </c>
      <c r="F25" s="8" t="s">
        <v>55</v>
      </c>
      <c r="G25" s="18">
        <v>0.01</v>
      </c>
      <c r="H25" s="8" t="s">
        <v>172</v>
      </c>
      <c r="I25" s="8" t="s">
        <v>171</v>
      </c>
      <c r="J25" s="8" t="s">
        <v>170</v>
      </c>
      <c r="K25" s="8" t="s">
        <v>211</v>
      </c>
      <c r="L25" s="8" t="s">
        <v>109</v>
      </c>
      <c r="M25" s="8" t="s">
        <v>210</v>
      </c>
      <c r="N25" s="8">
        <v>0.01</v>
      </c>
      <c r="O25" s="8">
        <f t="shared" si="1"/>
        <v>0.02</v>
      </c>
      <c r="P25" s="8" t="s">
        <v>109</v>
      </c>
      <c r="Q25" t="s">
        <v>258</v>
      </c>
    </row>
    <row r="26" spans="1:17" ht="15" x14ac:dyDescent="0.2">
      <c r="A26" s="8">
        <v>2</v>
      </c>
      <c r="B26" s="8" t="s">
        <v>297</v>
      </c>
      <c r="C26" s="8" t="s">
        <v>77</v>
      </c>
      <c r="D26" s="8" t="s">
        <v>298</v>
      </c>
      <c r="E26" s="8" t="s">
        <v>316</v>
      </c>
      <c r="F26" s="16" t="s">
        <v>55</v>
      </c>
      <c r="G26" s="18">
        <v>0.01</v>
      </c>
      <c r="H26" s="8" t="s">
        <v>186</v>
      </c>
      <c r="I26" s="8" t="s">
        <v>171</v>
      </c>
      <c r="J26" s="8" t="s">
        <v>184</v>
      </c>
      <c r="K26" s="8" t="s">
        <v>313</v>
      </c>
      <c r="L26" s="8" t="s">
        <v>109</v>
      </c>
      <c r="M26" s="8" t="s">
        <v>314</v>
      </c>
      <c r="N26" s="8">
        <v>3.1E-2</v>
      </c>
      <c r="O26" s="8">
        <f t="shared" si="1"/>
        <v>6.2E-2</v>
      </c>
      <c r="P26" s="8" t="s">
        <v>109</v>
      </c>
      <c r="Q26" t="s">
        <v>315</v>
      </c>
    </row>
    <row r="27" spans="1:17" ht="15" x14ac:dyDescent="0.2">
      <c r="A27" s="6">
        <v>1</v>
      </c>
      <c r="B27" s="6" t="s">
        <v>46</v>
      </c>
      <c r="C27" s="6" t="s">
        <v>13</v>
      </c>
      <c r="D27" s="8" t="s">
        <v>96</v>
      </c>
      <c r="E27" s="6" t="s">
        <v>32</v>
      </c>
      <c r="F27" s="8"/>
      <c r="G27" s="6" t="s">
        <v>96</v>
      </c>
      <c r="H27" s="8" t="s">
        <v>96</v>
      </c>
      <c r="I27" s="6" t="s">
        <v>96</v>
      </c>
      <c r="J27" s="6" t="s">
        <v>14</v>
      </c>
      <c r="K27" s="6" t="s">
        <v>34</v>
      </c>
      <c r="L27" s="6" t="s">
        <v>28</v>
      </c>
      <c r="M27" s="6" t="s">
        <v>33</v>
      </c>
      <c r="N27" s="7">
        <v>11.55</v>
      </c>
      <c r="O27" s="7">
        <v>0</v>
      </c>
      <c r="P27" s="8" t="s">
        <v>27</v>
      </c>
      <c r="Q27" t="s">
        <v>274</v>
      </c>
    </row>
    <row r="28" spans="1:17" ht="15" x14ac:dyDescent="0.2">
      <c r="A28" s="6">
        <v>1</v>
      </c>
      <c r="B28" s="6" t="s">
        <v>47</v>
      </c>
      <c r="C28" s="6" t="s">
        <v>13</v>
      </c>
      <c r="D28" s="8" t="s">
        <v>96</v>
      </c>
      <c r="E28" s="3" t="s">
        <v>39</v>
      </c>
      <c r="F28" s="6" t="s">
        <v>220</v>
      </c>
      <c r="G28" s="8" t="s">
        <v>96</v>
      </c>
      <c r="H28" s="8" t="s">
        <v>96</v>
      </c>
      <c r="I28" s="8" t="s">
        <v>96</v>
      </c>
      <c r="J28" s="6" t="s">
        <v>38</v>
      </c>
      <c r="K28" s="6" t="s">
        <v>37</v>
      </c>
      <c r="L28" s="6" t="s">
        <v>40</v>
      </c>
      <c r="M28" s="6" t="s">
        <v>41</v>
      </c>
      <c r="N28" s="7">
        <v>1.68</v>
      </c>
      <c r="O28" s="7">
        <v>0</v>
      </c>
      <c r="P28" s="8" t="s">
        <v>213</v>
      </c>
      <c r="Q28" t="s">
        <v>275</v>
      </c>
    </row>
    <row r="29" spans="1:17" ht="15" x14ac:dyDescent="0.2">
      <c r="A29" s="6">
        <v>1</v>
      </c>
      <c r="B29" s="6" t="s">
        <v>49</v>
      </c>
      <c r="C29" s="6" t="s">
        <v>10</v>
      </c>
      <c r="D29" s="8" t="s">
        <v>96</v>
      </c>
      <c r="E29" s="3" t="s">
        <v>42</v>
      </c>
      <c r="F29" s="8"/>
      <c r="G29" s="8" t="s">
        <v>96</v>
      </c>
      <c r="H29" s="8" t="s">
        <v>96</v>
      </c>
      <c r="I29" s="8" t="s">
        <v>96</v>
      </c>
      <c r="J29" s="6" t="s">
        <v>45</v>
      </c>
      <c r="K29" s="6">
        <v>12935</v>
      </c>
      <c r="L29" s="6" t="s">
        <v>9</v>
      </c>
      <c r="M29" s="6" t="s">
        <v>43</v>
      </c>
      <c r="N29" s="7" t="s">
        <v>44</v>
      </c>
      <c r="O29" s="7">
        <v>0</v>
      </c>
      <c r="P29" s="8" t="s">
        <v>214</v>
      </c>
      <c r="Q29" t="s">
        <v>276</v>
      </c>
    </row>
    <row r="30" spans="1:17" ht="15" x14ac:dyDescent="0.2">
      <c r="A30" s="6">
        <v>1</v>
      </c>
      <c r="B30" s="6" t="s">
        <v>48</v>
      </c>
      <c r="C30" s="6" t="s">
        <v>10</v>
      </c>
      <c r="D30" s="8" t="s">
        <v>96</v>
      </c>
      <c r="E30" s="6" t="s">
        <v>94</v>
      </c>
      <c r="F30" s="6" t="s">
        <v>95</v>
      </c>
      <c r="G30" s="6" t="s">
        <v>96</v>
      </c>
      <c r="H30" s="6" t="s">
        <v>97</v>
      </c>
      <c r="I30" s="6" t="s">
        <v>98</v>
      </c>
      <c r="J30" s="6" t="s">
        <v>14</v>
      </c>
      <c r="K30" s="6" t="s">
        <v>99</v>
      </c>
      <c r="L30" s="6" t="s">
        <v>28</v>
      </c>
      <c r="M30" s="6" t="s">
        <v>100</v>
      </c>
      <c r="N30" s="7">
        <v>1.45</v>
      </c>
      <c r="O30" s="7">
        <v>0</v>
      </c>
      <c r="P30" s="8" t="s">
        <v>27</v>
      </c>
      <c r="Q30" t="s">
        <v>277</v>
      </c>
    </row>
    <row r="31" spans="1:17" ht="15" x14ac:dyDescent="0.2">
      <c r="A31" s="6">
        <v>2</v>
      </c>
      <c r="B31" s="6" t="s">
        <v>244</v>
      </c>
      <c r="C31" s="6" t="s">
        <v>10</v>
      </c>
      <c r="D31" s="8" t="s">
        <v>96</v>
      </c>
      <c r="E31" s="6" t="s">
        <v>31</v>
      </c>
      <c r="F31" s="6" t="s">
        <v>215</v>
      </c>
      <c r="G31" s="6" t="s">
        <v>96</v>
      </c>
      <c r="H31" s="8" t="s">
        <v>96</v>
      </c>
      <c r="I31" s="6" t="s">
        <v>96</v>
      </c>
      <c r="J31" s="6" t="s">
        <v>14</v>
      </c>
      <c r="K31" s="6" t="s">
        <v>29</v>
      </c>
      <c r="L31" s="6" t="s">
        <v>14</v>
      </c>
      <c r="M31" s="6" t="s">
        <v>30</v>
      </c>
      <c r="N31" s="7">
        <v>11.06</v>
      </c>
      <c r="O31" s="7">
        <v>0</v>
      </c>
      <c r="P31" s="8" t="s">
        <v>27</v>
      </c>
      <c r="Q31" t="s">
        <v>278</v>
      </c>
    </row>
    <row r="32" spans="1:17" ht="15" x14ac:dyDescent="0.2">
      <c r="A32" s="6">
        <v>1</v>
      </c>
      <c r="B32" s="6" t="s">
        <v>50</v>
      </c>
      <c r="C32" s="6" t="s">
        <v>10</v>
      </c>
      <c r="D32" s="8" t="s">
        <v>96</v>
      </c>
      <c r="E32" s="6" t="s">
        <v>17</v>
      </c>
      <c r="F32" s="6" t="s">
        <v>216</v>
      </c>
      <c r="G32" s="6" t="s">
        <v>96</v>
      </c>
      <c r="H32" s="8" t="s">
        <v>96</v>
      </c>
      <c r="I32" s="8" t="s">
        <v>96</v>
      </c>
      <c r="J32" s="6" t="s">
        <v>14</v>
      </c>
      <c r="K32" s="6" t="s">
        <v>18</v>
      </c>
      <c r="L32" s="6" t="s">
        <v>14</v>
      </c>
      <c r="M32" s="6" t="s">
        <v>18</v>
      </c>
      <c r="N32" s="7">
        <v>0.9</v>
      </c>
      <c r="O32" s="7">
        <v>0</v>
      </c>
      <c r="P32" s="8" t="s">
        <v>27</v>
      </c>
      <c r="Q32" t="s">
        <v>279</v>
      </c>
    </row>
    <row r="33" spans="1:17" ht="15" x14ac:dyDescent="0.2">
      <c r="A33" s="6">
        <v>8</v>
      </c>
      <c r="B33" s="6" t="s">
        <v>51</v>
      </c>
      <c r="C33" s="6" t="s">
        <v>10</v>
      </c>
      <c r="D33" s="8" t="s">
        <v>96</v>
      </c>
      <c r="E33" s="6" t="s">
        <v>15</v>
      </c>
      <c r="F33" s="6" t="s">
        <v>217</v>
      </c>
      <c r="G33" s="6" t="s">
        <v>96</v>
      </c>
      <c r="H33" s="8" t="s">
        <v>96</v>
      </c>
      <c r="I33" s="6" t="s">
        <v>96</v>
      </c>
      <c r="J33" s="6" t="s">
        <v>14</v>
      </c>
      <c r="K33" s="6" t="s">
        <v>16</v>
      </c>
      <c r="L33" s="6" t="s">
        <v>14</v>
      </c>
      <c r="M33" s="6" t="s">
        <v>16</v>
      </c>
      <c r="N33" s="2">
        <v>3.9089999999999998</v>
      </c>
      <c r="O33" s="7">
        <v>0</v>
      </c>
      <c r="P33" s="8" t="s">
        <v>112</v>
      </c>
      <c r="Q33" t="s">
        <v>280</v>
      </c>
    </row>
    <row r="34" spans="1:17" ht="15" x14ac:dyDescent="0.2">
      <c r="A34" s="6">
        <v>1</v>
      </c>
      <c r="B34" s="6" t="s">
        <v>243</v>
      </c>
      <c r="C34" s="6" t="s">
        <v>11</v>
      </c>
      <c r="D34" s="8" t="s">
        <v>96</v>
      </c>
      <c r="E34" s="8" t="s">
        <v>228</v>
      </c>
      <c r="F34" s="6" t="s">
        <v>96</v>
      </c>
      <c r="G34" s="6" t="s">
        <v>96</v>
      </c>
      <c r="H34" s="8" t="s">
        <v>96</v>
      </c>
      <c r="I34" s="6" t="s">
        <v>96</v>
      </c>
      <c r="J34" s="8" t="s">
        <v>227</v>
      </c>
      <c r="K34" s="6" t="s">
        <v>226</v>
      </c>
      <c r="L34" s="6" t="s">
        <v>9</v>
      </c>
      <c r="M34" s="8" t="s">
        <v>229</v>
      </c>
      <c r="N34" s="7">
        <v>34.950000000000003</v>
      </c>
      <c r="O34" s="7">
        <v>0</v>
      </c>
      <c r="P34" s="8" t="s">
        <v>25</v>
      </c>
      <c r="Q34" t="s">
        <v>281</v>
      </c>
    </row>
    <row r="35" spans="1:17" ht="15" x14ac:dyDescent="0.2">
      <c r="A35" s="6">
        <v>2</v>
      </c>
      <c r="B35" s="6" t="s">
        <v>101</v>
      </c>
      <c r="C35" s="6" t="s">
        <v>102</v>
      </c>
      <c r="D35" s="8" t="s">
        <v>103</v>
      </c>
      <c r="E35" s="8" t="s">
        <v>104</v>
      </c>
      <c r="F35" s="6" t="s">
        <v>105</v>
      </c>
      <c r="G35" s="6" t="s">
        <v>96</v>
      </c>
      <c r="H35" s="6" t="s">
        <v>106</v>
      </c>
      <c r="I35" s="6" t="s">
        <v>107</v>
      </c>
      <c r="J35" s="6" t="s">
        <v>110</v>
      </c>
      <c r="K35" s="8" t="s">
        <v>108</v>
      </c>
      <c r="L35" s="6" t="s">
        <v>109</v>
      </c>
      <c r="M35" s="8" t="s">
        <v>111</v>
      </c>
      <c r="N35" s="7">
        <v>0.04</v>
      </c>
      <c r="O35" s="7">
        <v>0</v>
      </c>
      <c r="P35" s="8" t="s">
        <v>112</v>
      </c>
      <c r="Q35" t="s">
        <v>282</v>
      </c>
    </row>
    <row r="36" spans="1:17" ht="15" x14ac:dyDescent="0.2">
      <c r="A36" s="6">
        <v>2</v>
      </c>
      <c r="B36" s="6" t="s">
        <v>114</v>
      </c>
      <c r="C36" s="6" t="s">
        <v>102</v>
      </c>
      <c r="D36" s="8" t="s">
        <v>116</v>
      </c>
      <c r="E36" s="8" t="s">
        <v>117</v>
      </c>
      <c r="F36" s="6" t="s">
        <v>105</v>
      </c>
      <c r="G36" s="6" t="s">
        <v>96</v>
      </c>
      <c r="H36" s="8" t="s">
        <v>115</v>
      </c>
      <c r="I36" s="8" t="s">
        <v>118</v>
      </c>
      <c r="J36" s="6" t="s">
        <v>119</v>
      </c>
      <c r="K36" s="8" t="s">
        <v>121</v>
      </c>
      <c r="L36" s="6" t="s">
        <v>9</v>
      </c>
      <c r="M36" s="8" t="s">
        <v>120</v>
      </c>
      <c r="N36" s="7">
        <v>0.40200000000000002</v>
      </c>
      <c r="O36" s="7">
        <v>0</v>
      </c>
      <c r="P36" s="8" t="s">
        <v>112</v>
      </c>
      <c r="Q36" t="s">
        <v>283</v>
      </c>
    </row>
    <row r="37" spans="1:17" ht="15" x14ac:dyDescent="0.2">
      <c r="A37" s="6">
        <v>1</v>
      </c>
      <c r="B37" s="6" t="s">
        <v>128</v>
      </c>
      <c r="C37" s="6" t="s">
        <v>127</v>
      </c>
      <c r="D37" s="8" t="s">
        <v>240</v>
      </c>
      <c r="E37" s="8" t="s">
        <v>230</v>
      </c>
      <c r="F37" s="6" t="s">
        <v>105</v>
      </c>
      <c r="G37" s="6" t="s">
        <v>96</v>
      </c>
      <c r="H37" s="8" t="s">
        <v>96</v>
      </c>
      <c r="I37" s="6" t="s">
        <v>96</v>
      </c>
      <c r="J37" s="8" t="s">
        <v>231</v>
      </c>
      <c r="K37" s="8" t="s">
        <v>232</v>
      </c>
      <c r="L37" s="6" t="s">
        <v>40</v>
      </c>
      <c r="M37" s="8" t="s">
        <v>233</v>
      </c>
      <c r="N37" s="7">
        <v>0.1</v>
      </c>
      <c r="O37" s="7">
        <v>0</v>
      </c>
      <c r="P37" s="8" t="s">
        <v>143</v>
      </c>
      <c r="Q37" t="s">
        <v>284</v>
      </c>
    </row>
    <row r="38" spans="1:17" ht="15" x14ac:dyDescent="0.2">
      <c r="A38" s="6">
        <v>1</v>
      </c>
      <c r="B38" s="6" t="s">
        <v>125</v>
      </c>
      <c r="C38" s="6" t="s">
        <v>127</v>
      </c>
      <c r="D38" s="8" t="s">
        <v>96</v>
      </c>
      <c r="E38" s="8" t="s">
        <v>221</v>
      </c>
      <c r="F38" s="6" t="s">
        <v>105</v>
      </c>
      <c r="G38" s="6" t="s">
        <v>96</v>
      </c>
      <c r="H38" s="6" t="s">
        <v>152</v>
      </c>
      <c r="I38" s="6" t="s">
        <v>96</v>
      </c>
      <c r="J38" s="8" t="s">
        <v>222</v>
      </c>
      <c r="K38" s="8" t="s">
        <v>223</v>
      </c>
      <c r="L38" s="6" t="s">
        <v>109</v>
      </c>
      <c r="M38" s="8" t="s">
        <v>224</v>
      </c>
      <c r="N38" s="7">
        <v>0.79</v>
      </c>
      <c r="O38" s="20">
        <f>A38*N38</f>
        <v>0.79</v>
      </c>
      <c r="P38" s="8" t="s">
        <v>109</v>
      </c>
      <c r="Q38" t="s">
        <v>285</v>
      </c>
    </row>
    <row r="39" spans="1:17" ht="15" x14ac:dyDescent="0.2">
      <c r="A39" s="6">
        <v>1</v>
      </c>
      <c r="B39" s="6" t="s">
        <v>126</v>
      </c>
      <c r="C39" s="6" t="s">
        <v>127</v>
      </c>
      <c r="D39" s="8" t="s">
        <v>96</v>
      </c>
      <c r="E39" s="8" t="s">
        <v>301</v>
      </c>
      <c r="F39" s="6" t="s">
        <v>105</v>
      </c>
      <c r="G39" s="6" t="s">
        <v>96</v>
      </c>
      <c r="H39" s="6" t="s">
        <v>302</v>
      </c>
      <c r="I39" s="6" t="s">
        <v>96</v>
      </c>
      <c r="J39" s="8" t="s">
        <v>303</v>
      </c>
      <c r="K39" s="16" t="s">
        <v>299</v>
      </c>
      <c r="L39" s="6" t="s">
        <v>109</v>
      </c>
      <c r="M39" s="8" t="s">
        <v>300</v>
      </c>
      <c r="N39" s="7">
        <v>0.61</v>
      </c>
      <c r="O39" s="7">
        <f>A39*N39</f>
        <v>0.61</v>
      </c>
      <c r="P39" s="8" t="s">
        <v>109</v>
      </c>
      <c r="Q39" t="s">
        <v>312</v>
      </c>
    </row>
    <row r="40" spans="1:17" ht="15" x14ac:dyDescent="0.2">
      <c r="A40" s="6">
        <v>1</v>
      </c>
      <c r="B40" s="6" t="s">
        <v>234</v>
      </c>
      <c r="C40" s="6" t="s">
        <v>235</v>
      </c>
      <c r="D40" s="8" t="s">
        <v>236</v>
      </c>
      <c r="E40" s="8" t="s">
        <v>239</v>
      </c>
      <c r="F40" s="6" t="s">
        <v>238</v>
      </c>
      <c r="G40" s="6" t="s">
        <v>96</v>
      </c>
      <c r="H40" s="8" t="s">
        <v>96</v>
      </c>
      <c r="I40" s="6" t="s">
        <v>96</v>
      </c>
      <c r="J40" s="8" t="s">
        <v>237</v>
      </c>
      <c r="K40" s="8" t="s">
        <v>218</v>
      </c>
      <c r="L40" s="6" t="s">
        <v>9</v>
      </c>
      <c r="M40" s="8" t="s">
        <v>219</v>
      </c>
      <c r="N40" s="8">
        <v>0.83099999999999996</v>
      </c>
      <c r="O40" s="7">
        <v>0</v>
      </c>
      <c r="P40" s="8" t="s">
        <v>214</v>
      </c>
      <c r="Q40" t="s">
        <v>286</v>
      </c>
    </row>
    <row r="41" spans="1:17" ht="15" x14ac:dyDescent="0.2">
      <c r="A41" s="6">
        <v>18</v>
      </c>
      <c r="B41" s="6" t="s">
        <v>267</v>
      </c>
      <c r="C41" s="6" t="s">
        <v>268</v>
      </c>
      <c r="D41" s="8" t="s">
        <v>96</v>
      </c>
      <c r="E41" s="4" t="s">
        <v>272</v>
      </c>
      <c r="F41" s="6" t="s">
        <v>273</v>
      </c>
      <c r="G41" s="6" t="s">
        <v>96</v>
      </c>
      <c r="H41" s="8" t="s">
        <v>96</v>
      </c>
      <c r="I41" s="6" t="s">
        <v>271</v>
      </c>
      <c r="J41" s="8" t="s">
        <v>110</v>
      </c>
      <c r="K41" s="4" t="s">
        <v>269</v>
      </c>
      <c r="L41" s="6" t="s">
        <v>109</v>
      </c>
      <c r="M41" s="4" t="s">
        <v>294</v>
      </c>
      <c r="N41" s="7">
        <v>8.7999999999999995E-2</v>
      </c>
      <c r="O41" s="21">
        <f>A41*N41</f>
        <v>1.5839999999999999</v>
      </c>
      <c r="P41" s="8" t="s">
        <v>109</v>
      </c>
      <c r="Q41" t="s">
        <v>270</v>
      </c>
    </row>
    <row r="42" spans="1:17" ht="15" x14ac:dyDescent="0.2">
      <c r="A42" s="6">
        <v>8</v>
      </c>
      <c r="B42" s="6" t="s">
        <v>304</v>
      </c>
      <c r="C42" s="6" t="s">
        <v>287</v>
      </c>
      <c r="D42" s="8" t="s">
        <v>96</v>
      </c>
      <c r="E42" t="s">
        <v>289</v>
      </c>
      <c r="F42" s="6" t="s">
        <v>105</v>
      </c>
      <c r="G42" s="6" t="s">
        <v>96</v>
      </c>
      <c r="H42" s="8" t="s">
        <v>290</v>
      </c>
      <c r="I42" s="6" t="s">
        <v>96</v>
      </c>
      <c r="J42" t="s">
        <v>292</v>
      </c>
      <c r="K42" t="s">
        <v>291</v>
      </c>
      <c r="L42" s="6" t="s">
        <v>9</v>
      </c>
      <c r="M42" t="s">
        <v>293</v>
      </c>
      <c r="N42" s="7">
        <v>0</v>
      </c>
      <c r="O42" s="7">
        <v>0</v>
      </c>
      <c r="P42" s="8" t="s">
        <v>143</v>
      </c>
      <c r="Q42" t="s">
        <v>288</v>
      </c>
    </row>
    <row r="43" spans="1:17" ht="15" x14ac:dyDescent="0.2">
      <c r="A43" s="6">
        <v>1</v>
      </c>
      <c r="B43" s="6" t="s">
        <v>305</v>
      </c>
      <c r="C43" s="6" t="s">
        <v>287</v>
      </c>
      <c r="D43" s="8" t="s">
        <v>96</v>
      </c>
      <c r="E43" s="8" t="s">
        <v>306</v>
      </c>
      <c r="F43" s="6" t="s">
        <v>105</v>
      </c>
      <c r="G43" s="6" t="s">
        <v>96</v>
      </c>
      <c r="H43" s="6" t="s">
        <v>307</v>
      </c>
      <c r="I43" s="6" t="s">
        <v>96</v>
      </c>
      <c r="J43" t="s">
        <v>308</v>
      </c>
      <c r="K43" s="4" t="s">
        <v>309</v>
      </c>
      <c r="L43" s="6" t="s">
        <v>109</v>
      </c>
      <c r="M43" s="4" t="s">
        <v>310</v>
      </c>
      <c r="N43" s="7">
        <v>0.98</v>
      </c>
      <c r="O43" s="22">
        <f>A43*N43</f>
        <v>0.98</v>
      </c>
      <c r="P43" s="8" t="s">
        <v>109</v>
      </c>
      <c r="Q43" t="s">
        <v>311</v>
      </c>
    </row>
    <row r="44" spans="1:17" x14ac:dyDescent="0.2">
      <c r="O44">
        <f>SUM(O6:O43)</f>
        <v>16.191999999999997</v>
      </c>
    </row>
  </sheetData>
  <hyperlinks>
    <hyperlink ref="B4" r:id="rId1" location="common_component_prefixes" display="Reference Designator" xr:uid="{4147AC4C-D5EA-43D1-84FF-CD7C77D6B06E}"/>
  </hyperlinks>
  <pageMargins left="0.7" right="0.7" top="0.75" bottom="0.75" header="0.3" footer="0.3"/>
  <ignoredErrors>
    <ignoredError sqref="F6 F7:F10 F11:F12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BOM_NEW</vt:lpstr>
      <vt:lpstr>BOM_OLD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Valvano</dc:creator>
  <cp:lastModifiedBy>Knecht, Ashton</cp:lastModifiedBy>
  <cp:lastPrinted>2015-07-07T18:09:59Z</cp:lastPrinted>
  <dcterms:created xsi:type="dcterms:W3CDTF">2009-08-17T02:38:02Z</dcterms:created>
  <dcterms:modified xsi:type="dcterms:W3CDTF">2025-11-01T03:19:58Z</dcterms:modified>
</cp:coreProperties>
</file>